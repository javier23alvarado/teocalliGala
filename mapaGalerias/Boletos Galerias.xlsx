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oftware\teocalli\mapaGalerias\"/>
    </mc:Choice>
  </mc:AlternateContent>
  <bookViews>
    <workbookView xWindow="0" yWindow="0" windowWidth="19368" windowHeight="9192"/>
  </bookViews>
  <sheets>
    <sheet name="Hoja 1" sheetId="1" r:id="rId1"/>
  </sheets>
  <calcPr calcId="162913"/>
</workbook>
</file>

<file path=xl/calcChain.xml><?xml version="1.0" encoding="utf-8"?>
<calcChain xmlns="http://schemas.openxmlformats.org/spreadsheetml/2006/main">
  <c r="M19" i="1" l="1"/>
  <c r="N19" i="1"/>
  <c r="O19" i="1"/>
  <c r="P19" i="1"/>
  <c r="Q19" i="1"/>
  <c r="R19" i="1"/>
  <c r="S19" i="1"/>
  <c r="T19" i="1"/>
  <c r="U19" i="1"/>
  <c r="V19" i="1"/>
  <c r="J19" i="1"/>
  <c r="K19" i="1"/>
  <c r="L19" i="1"/>
  <c r="I19" i="1"/>
  <c r="AW42" i="1"/>
  <c r="AV42" i="1"/>
  <c r="AU42" i="1"/>
  <c r="AT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V42" i="1"/>
  <c r="U42" i="1"/>
  <c r="T42" i="1"/>
  <c r="S42" i="1"/>
  <c r="AX41" i="1"/>
  <c r="AW41" i="1"/>
  <c r="AV41" i="1"/>
  <c r="AU41" i="1"/>
  <c r="AT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V41" i="1"/>
  <c r="U41" i="1"/>
  <c r="T41" i="1"/>
  <c r="S41" i="1"/>
  <c r="R41" i="1"/>
  <c r="BA40" i="1"/>
  <c r="AZ40" i="1"/>
  <c r="AY40" i="1"/>
  <c r="AX40" i="1"/>
  <c r="AW40" i="1"/>
  <c r="AV40" i="1"/>
  <c r="AU40" i="1"/>
  <c r="AT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V40" i="1"/>
  <c r="U40" i="1"/>
  <c r="T40" i="1"/>
  <c r="S40" i="1"/>
  <c r="R40" i="1"/>
  <c r="Q40" i="1"/>
  <c r="BB39" i="1"/>
  <c r="BA39" i="1"/>
  <c r="AZ39" i="1"/>
  <c r="AY39" i="1"/>
  <c r="AX39" i="1"/>
  <c r="AW39" i="1"/>
  <c r="AV39" i="1"/>
  <c r="AU39" i="1"/>
  <c r="AT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V39" i="1"/>
  <c r="U39" i="1"/>
  <c r="T39" i="1"/>
  <c r="S39" i="1"/>
  <c r="R39" i="1"/>
  <c r="Q39" i="1"/>
  <c r="P39" i="1"/>
  <c r="BC38" i="1"/>
  <c r="BB38" i="1"/>
  <c r="BA38" i="1"/>
  <c r="AZ38" i="1"/>
  <c r="AY38" i="1"/>
  <c r="AX38" i="1"/>
  <c r="AW38" i="1"/>
  <c r="AV38" i="1"/>
  <c r="AU38" i="1"/>
  <c r="AT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V38" i="1"/>
  <c r="U38" i="1"/>
  <c r="T38" i="1"/>
  <c r="S38" i="1"/>
  <c r="R38" i="1"/>
  <c r="Q38" i="1"/>
  <c r="P38" i="1"/>
  <c r="O38" i="1"/>
  <c r="N38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V37" i="1"/>
  <c r="U37" i="1"/>
  <c r="T37" i="1"/>
  <c r="S37" i="1"/>
  <c r="R37" i="1"/>
  <c r="Q37" i="1"/>
  <c r="P37" i="1"/>
  <c r="O37" i="1"/>
  <c r="N37" i="1"/>
  <c r="M37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V36" i="1"/>
  <c r="U36" i="1"/>
  <c r="T36" i="1"/>
  <c r="S36" i="1"/>
  <c r="R36" i="1"/>
  <c r="Q36" i="1"/>
  <c r="P36" i="1"/>
  <c r="O36" i="1"/>
  <c r="N36" i="1"/>
  <c r="M36" i="1"/>
  <c r="L36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V35" i="1"/>
  <c r="U35" i="1"/>
  <c r="T35" i="1"/>
  <c r="S35" i="1"/>
  <c r="R35" i="1"/>
  <c r="Q35" i="1"/>
  <c r="P35" i="1"/>
  <c r="O35" i="1"/>
  <c r="N35" i="1"/>
  <c r="M35" i="1"/>
  <c r="L35" i="1"/>
  <c r="K35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BK20" i="1"/>
  <c r="BJ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G20" i="1"/>
  <c r="F20" i="1"/>
  <c r="BK19" i="1"/>
  <c r="BJ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G19" i="1"/>
  <c r="F19" i="1"/>
  <c r="BK18" i="1"/>
  <c r="BJ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G18" i="1"/>
  <c r="F18" i="1"/>
  <c r="BK17" i="1"/>
  <c r="BJ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G17" i="1"/>
  <c r="F17" i="1"/>
  <c r="BP16" i="1"/>
  <c r="BO16" i="1"/>
  <c r="BN16" i="1"/>
  <c r="BM16" i="1"/>
  <c r="BL16" i="1"/>
  <c r="BK16" i="1"/>
  <c r="BJ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B16" i="1"/>
  <c r="BP15" i="1"/>
  <c r="BO15" i="1"/>
  <c r="BN15" i="1"/>
  <c r="BM15" i="1"/>
  <c r="BL15" i="1"/>
  <c r="BK15" i="1"/>
  <c r="BJ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G15" i="1"/>
  <c r="F15" i="1"/>
  <c r="E15" i="1"/>
  <c r="D15" i="1"/>
  <c r="C15" i="1"/>
  <c r="B15" i="1"/>
  <c r="A15" i="1"/>
  <c r="BP14" i="1"/>
  <c r="BO14" i="1"/>
  <c r="BN14" i="1"/>
  <c r="BM14" i="1"/>
  <c r="BL14" i="1"/>
  <c r="BK14" i="1"/>
  <c r="BJ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B14" i="1"/>
  <c r="A14" i="1"/>
  <c r="BO13" i="1"/>
  <c r="BN13" i="1"/>
  <c r="BM13" i="1"/>
  <c r="BL13" i="1"/>
  <c r="BK13" i="1"/>
  <c r="BJ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G13" i="1"/>
  <c r="F13" i="1"/>
  <c r="E13" i="1"/>
  <c r="D13" i="1"/>
  <c r="C13" i="1"/>
  <c r="B13" i="1"/>
  <c r="A13" i="1"/>
  <c r="BO12" i="1"/>
  <c r="BN12" i="1"/>
  <c r="BM12" i="1"/>
  <c r="BL12" i="1"/>
  <c r="BK12" i="1"/>
  <c r="BJ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B12" i="1"/>
  <c r="A12" i="1"/>
  <c r="BO11" i="1"/>
  <c r="BN11" i="1"/>
  <c r="BM11" i="1"/>
  <c r="BL11" i="1"/>
  <c r="BK11" i="1"/>
  <c r="BJ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G11" i="1"/>
  <c r="F11" i="1"/>
  <c r="E11" i="1"/>
  <c r="D11" i="1"/>
  <c r="C11" i="1"/>
  <c r="B11" i="1"/>
  <c r="A11" i="1"/>
  <c r="BO10" i="1"/>
  <c r="BN10" i="1"/>
  <c r="BM10" i="1"/>
  <c r="BL10" i="1"/>
  <c r="BK10" i="1"/>
  <c r="BJ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G10" i="1"/>
  <c r="F10" i="1"/>
  <c r="E10" i="1"/>
  <c r="D10" i="1"/>
  <c r="C10" i="1"/>
  <c r="B10" i="1"/>
  <c r="BO9" i="1"/>
  <c r="BN9" i="1"/>
  <c r="BM9" i="1"/>
  <c r="BL9" i="1"/>
  <c r="BK9" i="1"/>
  <c r="BJ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G9" i="1"/>
  <c r="F9" i="1"/>
  <c r="E9" i="1"/>
  <c r="D9" i="1"/>
  <c r="C9" i="1"/>
  <c r="B9" i="1"/>
  <c r="BO8" i="1"/>
  <c r="BN8" i="1"/>
  <c r="BM8" i="1"/>
  <c r="BL8" i="1"/>
  <c r="BK8" i="1"/>
  <c r="BJ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G8" i="1"/>
  <c r="F8" i="1"/>
  <c r="E8" i="1"/>
  <c r="D8" i="1"/>
  <c r="C8" i="1"/>
  <c r="B8" i="1"/>
  <c r="BO7" i="1"/>
  <c r="BN7" i="1"/>
  <c r="BM7" i="1"/>
  <c r="BL7" i="1"/>
  <c r="BK7" i="1"/>
  <c r="BJ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G7" i="1"/>
  <c r="F7" i="1"/>
  <c r="E7" i="1"/>
  <c r="D7" i="1"/>
  <c r="C7" i="1"/>
  <c r="B7" i="1"/>
  <c r="BO6" i="1"/>
  <c r="BN6" i="1"/>
  <c r="BM6" i="1"/>
  <c r="BL6" i="1"/>
  <c r="BK6" i="1"/>
  <c r="BJ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G6" i="1"/>
  <c r="F6" i="1"/>
  <c r="E6" i="1"/>
  <c r="D6" i="1"/>
  <c r="C6" i="1"/>
  <c r="B6" i="1"/>
  <c r="BO5" i="1"/>
  <c r="BN5" i="1"/>
  <c r="BM5" i="1"/>
  <c r="BL5" i="1"/>
  <c r="BK5" i="1"/>
  <c r="BJ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G5" i="1"/>
  <c r="F5" i="1"/>
  <c r="E5" i="1"/>
  <c r="D5" i="1"/>
  <c r="C5" i="1"/>
  <c r="B5" i="1"/>
  <c r="BO4" i="1"/>
  <c r="BN4" i="1"/>
  <c r="BM4" i="1"/>
  <c r="BL4" i="1"/>
  <c r="BK4" i="1"/>
  <c r="BJ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G4" i="1"/>
  <c r="F4" i="1"/>
  <c r="E4" i="1"/>
  <c r="D4" i="1"/>
  <c r="C4" i="1"/>
  <c r="B4" i="1"/>
  <c r="BO3" i="1"/>
  <c r="BN3" i="1"/>
  <c r="BM3" i="1"/>
  <c r="BL3" i="1"/>
  <c r="BK3" i="1"/>
  <c r="BJ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G3" i="1"/>
  <c r="F3" i="1"/>
  <c r="E3" i="1"/>
  <c r="D3" i="1"/>
  <c r="C3" i="1"/>
  <c r="B3" i="1"/>
  <c r="BN2" i="1"/>
  <c r="BM2" i="1"/>
  <c r="BL2" i="1"/>
  <c r="BK2" i="1"/>
  <c r="BJ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O2" i="1"/>
  <c r="AN2" i="1"/>
  <c r="AM2" i="1"/>
  <c r="AL2" i="1"/>
  <c r="AK2" i="1"/>
  <c r="AJ2" i="1"/>
  <c r="AF2" i="1"/>
  <c r="AE2" i="1"/>
  <c r="AD2" i="1"/>
  <c r="AC2" i="1"/>
  <c r="AB2" i="1"/>
  <c r="AA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G2" i="1"/>
  <c r="F2" i="1"/>
  <c r="E2" i="1"/>
  <c r="D2" i="1"/>
  <c r="C2" i="1"/>
  <c r="B2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<sst xmlns="http://schemas.openxmlformats.org/spreadsheetml/2006/main" count="799" uniqueCount="2">
  <si>
    <t>pasillo</t>
  </si>
  <si>
    <t>ESCENARIO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</si>
</sst>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P53"/>
  <sheetViews>
    <sheetView tabSelected="1" topLeftCell="A8" workbookViewId="0">
      <selection activeCell="AK26" sqref="AK26:AK42"/>
    </sheetView>
  </sheetViews>
  <sheetFormatPr baseColWidth="10" defaultColWidth="12.6640625" defaultRowHeight="15.75" customHeight="1" x14ac:dyDescent="0.25"/>
  <cols>
    <col min="1" max="1" width="6.44140625" customWidth="1"/>
    <col min="2" max="2" width="6.6640625" customWidth="1"/>
    <col min="3" max="3" width="8" customWidth="1"/>
    <col min="4" max="4" width="6.77734375" customWidth="1"/>
    <col min="5" max="5" width="6.33203125" customWidth="1"/>
    <col min="6" max="6" width="5.6640625" customWidth="1"/>
    <col min="7" max="7" width="6.88671875" customWidth="1"/>
    <col min="8" max="10" width="7.33203125" customWidth="1"/>
    <col min="11" max="11" width="5.77734375" customWidth="1"/>
    <col min="12" max="12" width="6.21875" customWidth="1"/>
    <col min="13" max="13" width="6" customWidth="1"/>
    <col min="14" max="14" width="6.77734375" customWidth="1"/>
    <col min="15" max="15" width="5.77734375" customWidth="1"/>
    <col min="16" max="16" width="5.44140625" customWidth="1"/>
    <col min="17" max="17" width="6.33203125" customWidth="1"/>
    <col min="18" max="18" width="6.6640625" customWidth="1"/>
    <col min="19" max="19" width="6" customWidth="1"/>
    <col min="20" max="20" width="5" customWidth="1"/>
    <col min="21" max="21" width="6" customWidth="1"/>
    <col min="22" max="22" width="6.21875" customWidth="1"/>
    <col min="23" max="23" width="5.33203125" customWidth="1"/>
    <col min="24" max="24" width="8" customWidth="1"/>
    <col min="25" max="25" width="7" customWidth="1"/>
    <col min="26" max="26" width="6" customWidth="1"/>
    <col min="27" max="28" width="6.21875" customWidth="1"/>
    <col min="29" max="29" width="6.44140625" customWidth="1"/>
    <col min="30" max="30" width="6.77734375" customWidth="1"/>
    <col min="31" max="31" width="6.109375" customWidth="1"/>
    <col min="32" max="32" width="7" customWidth="1"/>
    <col min="33" max="33" width="6.77734375" customWidth="1"/>
    <col min="34" max="34" width="7.109375" customWidth="1"/>
    <col min="35" max="35" width="6.33203125" customWidth="1"/>
    <col min="36" max="36" width="6" customWidth="1"/>
    <col min="37" max="37" width="6.6640625" customWidth="1"/>
    <col min="38" max="38" width="5.6640625" customWidth="1"/>
    <col min="39" max="39" width="5.88671875" customWidth="1"/>
    <col min="40" max="40" width="6" customWidth="1"/>
    <col min="41" max="41" width="5.88671875" customWidth="1"/>
    <col min="42" max="42" width="6.44140625" customWidth="1"/>
    <col min="43" max="43" width="7.88671875" customWidth="1"/>
    <col min="44" max="45" width="8" customWidth="1"/>
    <col min="46" max="46" width="5.77734375" customWidth="1"/>
    <col min="47" max="47" width="7.21875" customWidth="1"/>
    <col min="48" max="48" width="5" customWidth="1"/>
    <col min="49" max="49" width="4.33203125" customWidth="1"/>
    <col min="50" max="50" width="5.21875" customWidth="1"/>
    <col min="51" max="51" width="6.33203125" customWidth="1"/>
    <col min="52" max="53" width="5.6640625" customWidth="1"/>
    <col min="54" max="54" width="6.21875" customWidth="1"/>
    <col min="55" max="55" width="6" customWidth="1"/>
    <col min="56" max="56" width="5.77734375" customWidth="1"/>
    <col min="57" max="57" width="6" customWidth="1"/>
    <col min="58" max="58" width="5.21875" customWidth="1"/>
    <col min="59" max="64" width="6.109375" customWidth="1"/>
    <col min="65" max="65" width="5.77734375" customWidth="1"/>
    <col min="66" max="66" width="5.109375" customWidth="1"/>
    <col min="67" max="67" width="5.88671875" customWidth="1"/>
    <col min="68" max="68" width="5.44140625" customWidth="1"/>
    <col min="69" max="69" width="5.33203125" customWidth="1"/>
    <col min="70" max="70" width="5.77734375" customWidth="1"/>
  </cols>
  <sheetData>
    <row r="1" spans="1:68" x14ac:dyDescent="0.25">
      <c r="B1" s="1" t="str">
        <f t="shared" ref="B1:BM1" si="0">"TT" &amp; (99 + COLUMNS($A1:A1))</f>
        <v>TT100</v>
      </c>
      <c r="C1" s="1" t="str">
        <f t="shared" si="0"/>
        <v>TT101</v>
      </c>
      <c r="D1" s="1" t="str">
        <f t="shared" si="0"/>
        <v>TT102</v>
      </c>
      <c r="E1" s="1" t="str">
        <f t="shared" si="0"/>
        <v>TT103</v>
      </c>
      <c r="F1" s="1" t="str">
        <f t="shared" si="0"/>
        <v>TT104</v>
      </c>
      <c r="G1" s="1" t="str">
        <f t="shared" si="0"/>
        <v>TT105</v>
      </c>
      <c r="H1" s="1" t="str">
        <f t="shared" si="0"/>
        <v>TT106</v>
      </c>
      <c r="I1" s="1" t="str">
        <f t="shared" si="0"/>
        <v>TT107</v>
      </c>
      <c r="J1" s="1" t="str">
        <f t="shared" si="0"/>
        <v>TT108</v>
      </c>
      <c r="K1" s="1" t="str">
        <f t="shared" si="0"/>
        <v>TT109</v>
      </c>
      <c r="L1" s="1" t="str">
        <f t="shared" si="0"/>
        <v>TT110</v>
      </c>
      <c r="M1" s="1" t="str">
        <f t="shared" si="0"/>
        <v>TT111</v>
      </c>
      <c r="N1" s="1" t="str">
        <f t="shared" si="0"/>
        <v>TT112</v>
      </c>
      <c r="O1" s="1" t="str">
        <f t="shared" si="0"/>
        <v>TT113</v>
      </c>
      <c r="P1" s="1" t="str">
        <f t="shared" si="0"/>
        <v>TT114</v>
      </c>
      <c r="Q1" s="1" t="str">
        <f t="shared" si="0"/>
        <v>TT115</v>
      </c>
      <c r="R1" s="1" t="str">
        <f t="shared" si="0"/>
        <v>TT116</v>
      </c>
      <c r="S1" s="1" t="str">
        <f t="shared" si="0"/>
        <v>TT117</v>
      </c>
      <c r="T1" s="1" t="str">
        <f t="shared" si="0"/>
        <v>TT118</v>
      </c>
      <c r="U1" s="1" t="str">
        <f t="shared" si="0"/>
        <v>TT119</v>
      </c>
      <c r="V1" s="1" t="str">
        <f t="shared" si="0"/>
        <v>TT120</v>
      </c>
      <c r="W1" s="1" t="str">
        <f t="shared" si="0"/>
        <v>TT121</v>
      </c>
      <c r="X1" s="1" t="str">
        <f t="shared" si="0"/>
        <v>TT122</v>
      </c>
      <c r="Y1" s="1" t="str">
        <f t="shared" si="0"/>
        <v>TT123</v>
      </c>
      <c r="Z1" s="1" t="str">
        <f t="shared" si="0"/>
        <v>TT124</v>
      </c>
      <c r="AA1" s="1" t="str">
        <f t="shared" si="0"/>
        <v>TT125</v>
      </c>
      <c r="AB1" s="1" t="str">
        <f t="shared" si="0"/>
        <v>TT126</v>
      </c>
      <c r="AC1" s="1" t="str">
        <f t="shared" si="0"/>
        <v>TT127</v>
      </c>
      <c r="AD1" s="1" t="str">
        <f t="shared" si="0"/>
        <v>TT128</v>
      </c>
      <c r="AE1" s="1" t="str">
        <f t="shared" si="0"/>
        <v>TT129</v>
      </c>
      <c r="AF1" s="1" t="str">
        <f t="shared" si="0"/>
        <v>TT130</v>
      </c>
      <c r="AG1" s="1" t="str">
        <f t="shared" si="0"/>
        <v>TT131</v>
      </c>
      <c r="AH1" s="1" t="str">
        <f t="shared" si="0"/>
        <v>TT132</v>
      </c>
      <c r="AI1" s="1" t="str">
        <f t="shared" si="0"/>
        <v>TT133</v>
      </c>
      <c r="AJ1" s="1" t="str">
        <f t="shared" si="0"/>
        <v>TT134</v>
      </c>
      <c r="AK1" s="1" t="str">
        <f t="shared" si="0"/>
        <v>TT135</v>
      </c>
      <c r="AL1" s="1" t="str">
        <f t="shared" si="0"/>
        <v>TT136</v>
      </c>
      <c r="AM1" s="1" t="str">
        <f t="shared" si="0"/>
        <v>TT137</v>
      </c>
      <c r="AN1" s="1" t="str">
        <f t="shared" si="0"/>
        <v>TT138</v>
      </c>
      <c r="AO1" s="1" t="str">
        <f t="shared" si="0"/>
        <v>TT139</v>
      </c>
      <c r="AP1" s="1" t="str">
        <f t="shared" si="0"/>
        <v>TT140</v>
      </c>
      <c r="AQ1" s="1" t="str">
        <f t="shared" si="0"/>
        <v>TT141</v>
      </c>
      <c r="AR1" s="1" t="str">
        <f t="shared" si="0"/>
        <v>TT142</v>
      </c>
      <c r="AS1" s="1" t="str">
        <f t="shared" si="0"/>
        <v>TT143</v>
      </c>
      <c r="AT1" s="1" t="str">
        <f t="shared" si="0"/>
        <v>TT144</v>
      </c>
      <c r="AU1" s="1" t="str">
        <f t="shared" si="0"/>
        <v>TT145</v>
      </c>
      <c r="AV1" s="1" t="str">
        <f t="shared" si="0"/>
        <v>TT146</v>
      </c>
      <c r="AW1" s="1" t="str">
        <f t="shared" si="0"/>
        <v>TT147</v>
      </c>
      <c r="AX1" s="1" t="str">
        <f t="shared" si="0"/>
        <v>TT148</v>
      </c>
      <c r="AY1" s="1" t="str">
        <f t="shared" si="0"/>
        <v>TT149</v>
      </c>
      <c r="AZ1" s="1" t="str">
        <f t="shared" si="0"/>
        <v>TT150</v>
      </c>
      <c r="BA1" s="1" t="str">
        <f t="shared" si="0"/>
        <v>TT151</v>
      </c>
      <c r="BB1" s="1" t="str">
        <f t="shared" si="0"/>
        <v>TT152</v>
      </c>
      <c r="BC1" s="1" t="str">
        <f t="shared" si="0"/>
        <v>TT153</v>
      </c>
      <c r="BD1" s="1" t="str">
        <f t="shared" si="0"/>
        <v>TT154</v>
      </c>
      <c r="BE1" s="1" t="str">
        <f t="shared" si="0"/>
        <v>TT155</v>
      </c>
      <c r="BF1" s="1" t="str">
        <f t="shared" si="0"/>
        <v>TT156</v>
      </c>
      <c r="BG1" s="1" t="str">
        <f t="shared" si="0"/>
        <v>TT157</v>
      </c>
      <c r="BH1" s="1" t="str">
        <f t="shared" si="0"/>
        <v>TT158</v>
      </c>
      <c r="BI1" s="1" t="str">
        <f t="shared" si="0"/>
        <v>TT159</v>
      </c>
      <c r="BJ1" s="1" t="str">
        <f t="shared" si="0"/>
        <v>TT160</v>
      </c>
      <c r="BK1" s="1" t="str">
        <f t="shared" si="0"/>
        <v>TT161</v>
      </c>
      <c r="BL1" s="1" t="str">
        <f t="shared" si="0"/>
        <v>TT162</v>
      </c>
      <c r="BM1" s="1" t="str">
        <f t="shared" si="0"/>
        <v>TT163</v>
      </c>
    </row>
    <row r="2" spans="1:68" x14ac:dyDescent="0.25">
      <c r="B2" s="1" t="str">
        <f t="shared" ref="B2:G2" si="1">"SS" &amp; (42 - (COLUMN() - COLUMN($A$2)) * 2)</f>
        <v>SS40</v>
      </c>
      <c r="C2" s="1" t="str">
        <f t="shared" si="1"/>
        <v>SS38</v>
      </c>
      <c r="D2" s="1" t="str">
        <f t="shared" si="1"/>
        <v>SS36</v>
      </c>
      <c r="E2" s="1" t="str">
        <f t="shared" si="1"/>
        <v>SS34</v>
      </c>
      <c r="F2" s="1" t="str">
        <f t="shared" si="1"/>
        <v>SS32</v>
      </c>
      <c r="G2" s="1" t="str">
        <f t="shared" si="1"/>
        <v>SS30</v>
      </c>
      <c r="H2" s="2" t="s">
        <v>0</v>
      </c>
      <c r="I2" s="1" t="str">
        <f t="shared" ref="I2:V2" si="2">"SS" &amp; (44 - (COLUMN() - COLUMN($A$2)) * 2)</f>
        <v>SS28</v>
      </c>
      <c r="J2" s="1" t="str">
        <f t="shared" si="2"/>
        <v>SS26</v>
      </c>
      <c r="K2" s="1" t="str">
        <f t="shared" si="2"/>
        <v>SS24</v>
      </c>
      <c r="L2" s="1" t="str">
        <f t="shared" si="2"/>
        <v>SS22</v>
      </c>
      <c r="M2" s="1" t="str">
        <f t="shared" si="2"/>
        <v>SS20</v>
      </c>
      <c r="N2" s="1" t="str">
        <f t="shared" si="2"/>
        <v>SS18</v>
      </c>
      <c r="O2" s="1" t="str">
        <f t="shared" si="2"/>
        <v>SS16</v>
      </c>
      <c r="P2" s="1" t="str">
        <f t="shared" si="2"/>
        <v>SS14</v>
      </c>
      <c r="Q2" s="1" t="str">
        <f t="shared" si="2"/>
        <v>SS12</v>
      </c>
      <c r="R2" s="1" t="str">
        <f t="shared" si="2"/>
        <v>SS10</v>
      </c>
      <c r="S2" s="1" t="str">
        <f t="shared" si="2"/>
        <v>SS8</v>
      </c>
      <c r="T2" s="1" t="str">
        <f t="shared" si="2"/>
        <v>SS6</v>
      </c>
      <c r="U2" s="1" t="str">
        <f t="shared" si="2"/>
        <v>SS4</v>
      </c>
      <c r="V2" s="1" t="str">
        <f t="shared" si="2"/>
        <v>SS2</v>
      </c>
      <c r="W2" s="2" t="s">
        <v>0</v>
      </c>
      <c r="X2" s="2" t="s">
        <v>0</v>
      </c>
      <c r="Y2" s="2" t="s">
        <v>0</v>
      </c>
      <c r="Z2" s="2" t="s">
        <v>0</v>
      </c>
      <c r="AA2" s="1" t="str">
        <f t="shared" ref="AA2:AF2" si="3">"SS" &amp; (99 + COLUMNS($A1:A1))</f>
        <v>SS100</v>
      </c>
      <c r="AB2" s="1" t="str">
        <f t="shared" si="3"/>
        <v>SS101</v>
      </c>
      <c r="AC2" s="1" t="str">
        <f t="shared" si="3"/>
        <v>SS102</v>
      </c>
      <c r="AD2" s="1" t="str">
        <f t="shared" si="3"/>
        <v>SS103</v>
      </c>
      <c r="AE2" s="1" t="str">
        <f t="shared" si="3"/>
        <v>SS104</v>
      </c>
      <c r="AF2" s="1" t="str">
        <f t="shared" si="3"/>
        <v>SS105</v>
      </c>
      <c r="AJ2" s="1" t="str">
        <f t="shared" ref="AJ2:AO2" si="4">"SS" &amp; (99 + COLUMNS($A1:J1))</f>
        <v>SS109</v>
      </c>
      <c r="AK2" s="1" t="str">
        <f t="shared" si="4"/>
        <v>SS110</v>
      </c>
      <c r="AL2" s="1" t="str">
        <f t="shared" si="4"/>
        <v>SS111</v>
      </c>
      <c r="AM2" s="1" t="str">
        <f t="shared" si="4"/>
        <v>SS112</v>
      </c>
      <c r="AN2" s="1" t="str">
        <f t="shared" si="4"/>
        <v>SS113</v>
      </c>
      <c r="AO2" s="1" t="str">
        <f t="shared" si="4"/>
        <v>SS114</v>
      </c>
      <c r="AQ2" s="2" t="s">
        <v>0</v>
      </c>
      <c r="AR2" s="2" t="s">
        <v>0</v>
      </c>
      <c r="AS2" s="2" t="s">
        <v>0</v>
      </c>
      <c r="AT2" s="1" t="str">
        <f t="shared" ref="AT2:BH2" si="5">"SS" &amp; (1 + (COLUMNS($A1:A1) - 1) * 2)</f>
        <v>SS1</v>
      </c>
      <c r="AU2" s="1" t="str">
        <f t="shared" si="5"/>
        <v>SS3</v>
      </c>
      <c r="AV2" s="1" t="str">
        <f t="shared" si="5"/>
        <v>SS5</v>
      </c>
      <c r="AW2" s="1" t="str">
        <f t="shared" si="5"/>
        <v>SS7</v>
      </c>
      <c r="AX2" s="1" t="str">
        <f t="shared" si="5"/>
        <v>SS9</v>
      </c>
      <c r="AY2" s="1" t="str">
        <f t="shared" si="5"/>
        <v>SS11</v>
      </c>
      <c r="AZ2" s="1" t="str">
        <f t="shared" si="5"/>
        <v>SS13</v>
      </c>
      <c r="BA2" s="1" t="str">
        <f t="shared" si="5"/>
        <v>SS15</v>
      </c>
      <c r="BB2" s="1" t="str">
        <f t="shared" si="5"/>
        <v>SS17</v>
      </c>
      <c r="BC2" s="1" t="str">
        <f t="shared" si="5"/>
        <v>SS19</v>
      </c>
      <c r="BD2" s="1" t="str">
        <f t="shared" si="5"/>
        <v>SS21</v>
      </c>
      <c r="BE2" s="1" t="str">
        <f t="shared" si="5"/>
        <v>SS23</v>
      </c>
      <c r="BF2" s="1" t="str">
        <f t="shared" si="5"/>
        <v>SS25</v>
      </c>
      <c r="BG2" s="1" t="str">
        <f t="shared" si="5"/>
        <v>SS27</v>
      </c>
      <c r="BH2" s="1" t="str">
        <f t="shared" si="5"/>
        <v>SS29</v>
      </c>
      <c r="BJ2" s="1" t="str">
        <f t="shared" ref="BJ2:BN2" si="6">"SS" &amp; (1 + (COLUMNS($A1:P1) - 1) * 2)</f>
        <v>SS31</v>
      </c>
      <c r="BK2" s="1" t="str">
        <f t="shared" si="6"/>
        <v>SS33</v>
      </c>
      <c r="BL2" s="1" t="str">
        <f t="shared" si="6"/>
        <v>SS35</v>
      </c>
      <c r="BM2" s="1" t="str">
        <f t="shared" si="6"/>
        <v>SS37</v>
      </c>
      <c r="BN2" s="1" t="str">
        <f t="shared" si="6"/>
        <v>SS39</v>
      </c>
    </row>
    <row r="3" spans="1:68" x14ac:dyDescent="0.25">
      <c r="B3" s="1" t="str">
        <f t="shared" ref="B3:G3" si="7">"RR" &amp; (42 - (COLUMN() - COLUMN($A$2)) * 2)</f>
        <v>RR40</v>
      </c>
      <c r="C3" s="1" t="str">
        <f t="shared" si="7"/>
        <v>RR38</v>
      </c>
      <c r="D3" s="1" t="str">
        <f t="shared" si="7"/>
        <v>RR36</v>
      </c>
      <c r="E3" s="1" t="str">
        <f t="shared" si="7"/>
        <v>RR34</v>
      </c>
      <c r="F3" s="1" t="str">
        <f t="shared" si="7"/>
        <v>RR32</v>
      </c>
      <c r="G3" s="1" t="str">
        <f t="shared" si="7"/>
        <v>RR30</v>
      </c>
      <c r="H3" s="2" t="s">
        <v>0</v>
      </c>
      <c r="I3" s="1" t="str">
        <f t="shared" ref="I3:V3" si="8">"RR" &amp; (44 - (COLUMN() - COLUMN($A$2)) * 2)</f>
        <v>RR28</v>
      </c>
      <c r="J3" s="1" t="str">
        <f t="shared" si="8"/>
        <v>RR26</v>
      </c>
      <c r="K3" s="1" t="str">
        <f t="shared" si="8"/>
        <v>RR24</v>
      </c>
      <c r="L3" s="1" t="str">
        <f t="shared" si="8"/>
        <v>RR22</v>
      </c>
      <c r="M3" s="1" t="str">
        <f t="shared" si="8"/>
        <v>RR20</v>
      </c>
      <c r="N3" s="1" t="str">
        <f t="shared" si="8"/>
        <v>RR18</v>
      </c>
      <c r="O3" s="1" t="str">
        <f t="shared" si="8"/>
        <v>RR16</v>
      </c>
      <c r="P3" s="1" t="str">
        <f t="shared" si="8"/>
        <v>RR14</v>
      </c>
      <c r="Q3" s="1" t="str">
        <f t="shared" si="8"/>
        <v>RR12</v>
      </c>
      <c r="R3" s="1" t="str">
        <f t="shared" si="8"/>
        <v>RR10</v>
      </c>
      <c r="S3" s="1" t="str">
        <f t="shared" si="8"/>
        <v>RR8</v>
      </c>
      <c r="T3" s="1" t="str">
        <f t="shared" si="8"/>
        <v>RR6</v>
      </c>
      <c r="U3" s="1" t="str">
        <f t="shared" si="8"/>
        <v>RR4</v>
      </c>
      <c r="V3" s="1" t="str">
        <f t="shared" si="8"/>
        <v>RR2</v>
      </c>
      <c r="W3" s="2" t="s">
        <v>0</v>
      </c>
      <c r="X3" s="2" t="s">
        <v>0</v>
      </c>
      <c r="Y3" s="2" t="s">
        <v>0</v>
      </c>
      <c r="Z3" s="2" t="s">
        <v>0</v>
      </c>
      <c r="AA3" s="1" t="str">
        <f t="shared" ref="AA3:AP3" si="9">"RR" &amp; (99 + COLUMNS($A1:A1))</f>
        <v>RR100</v>
      </c>
      <c r="AB3" s="1" t="str">
        <f t="shared" si="9"/>
        <v>RR101</v>
      </c>
      <c r="AC3" s="1" t="str">
        <f t="shared" si="9"/>
        <v>RR102</v>
      </c>
      <c r="AD3" s="1" t="str">
        <f t="shared" si="9"/>
        <v>RR103</v>
      </c>
      <c r="AE3" s="1" t="str">
        <f t="shared" si="9"/>
        <v>RR104</v>
      </c>
      <c r="AF3" s="1" t="str">
        <f t="shared" si="9"/>
        <v>RR105</v>
      </c>
      <c r="AG3" s="1" t="str">
        <f t="shared" si="9"/>
        <v>RR106</v>
      </c>
      <c r="AH3" s="1" t="str">
        <f t="shared" si="9"/>
        <v>RR107</v>
      </c>
      <c r="AI3" s="1" t="str">
        <f t="shared" si="9"/>
        <v>RR108</v>
      </c>
      <c r="AJ3" s="1" t="str">
        <f t="shared" si="9"/>
        <v>RR109</v>
      </c>
      <c r="AK3" s="1" t="str">
        <f t="shared" si="9"/>
        <v>RR110</v>
      </c>
      <c r="AL3" s="1" t="str">
        <f t="shared" si="9"/>
        <v>RR111</v>
      </c>
      <c r="AM3" s="1" t="str">
        <f t="shared" si="9"/>
        <v>RR112</v>
      </c>
      <c r="AN3" s="1" t="str">
        <f t="shared" si="9"/>
        <v>RR113</v>
      </c>
      <c r="AO3" s="1" t="str">
        <f t="shared" si="9"/>
        <v>RR114</v>
      </c>
      <c r="AP3" s="1" t="str">
        <f t="shared" si="9"/>
        <v>RR115</v>
      </c>
      <c r="AQ3" s="2" t="s">
        <v>0</v>
      </c>
      <c r="AR3" s="2" t="s">
        <v>0</v>
      </c>
      <c r="AS3" s="2" t="s">
        <v>0</v>
      </c>
      <c r="AT3" s="1" t="str">
        <f t="shared" ref="AT3:BH3" si="10">"RR" &amp; (1 + (COLUMNS($A2:A2) - 1) * 2)</f>
        <v>RR1</v>
      </c>
      <c r="AU3" s="1" t="str">
        <f t="shared" si="10"/>
        <v>RR3</v>
      </c>
      <c r="AV3" s="1" t="str">
        <f t="shared" si="10"/>
        <v>RR5</v>
      </c>
      <c r="AW3" s="1" t="str">
        <f t="shared" si="10"/>
        <v>RR7</v>
      </c>
      <c r="AX3" s="1" t="str">
        <f t="shared" si="10"/>
        <v>RR9</v>
      </c>
      <c r="AY3" s="1" t="str">
        <f t="shared" si="10"/>
        <v>RR11</v>
      </c>
      <c r="AZ3" s="1" t="str">
        <f t="shared" si="10"/>
        <v>RR13</v>
      </c>
      <c r="BA3" s="1" t="str">
        <f t="shared" si="10"/>
        <v>RR15</v>
      </c>
      <c r="BB3" s="1" t="str">
        <f t="shared" si="10"/>
        <v>RR17</v>
      </c>
      <c r="BC3" s="1" t="str">
        <f t="shared" si="10"/>
        <v>RR19</v>
      </c>
      <c r="BD3" s="1" t="str">
        <f t="shared" si="10"/>
        <v>RR21</v>
      </c>
      <c r="BE3" s="1" t="str">
        <f t="shared" si="10"/>
        <v>RR23</v>
      </c>
      <c r="BF3" s="1" t="str">
        <f t="shared" si="10"/>
        <v>RR25</v>
      </c>
      <c r="BG3" s="1" t="str">
        <f t="shared" si="10"/>
        <v>RR27</v>
      </c>
      <c r="BH3" s="1" t="str">
        <f t="shared" si="10"/>
        <v>RR29</v>
      </c>
      <c r="BJ3" s="1" t="str">
        <f t="shared" ref="BJ3:BO3" si="11">"RR" &amp; (1 + (COLUMNS($A2:P2) - 1) * 2)</f>
        <v>RR31</v>
      </c>
      <c r="BK3" s="1" t="str">
        <f t="shared" si="11"/>
        <v>RR33</v>
      </c>
      <c r="BL3" s="1" t="str">
        <f t="shared" si="11"/>
        <v>RR35</v>
      </c>
      <c r="BM3" s="1" t="str">
        <f t="shared" si="11"/>
        <v>RR37</v>
      </c>
      <c r="BN3" s="1" t="str">
        <f t="shared" si="11"/>
        <v>RR39</v>
      </c>
      <c r="BO3" s="1" t="str">
        <f t="shared" si="11"/>
        <v>RR41</v>
      </c>
    </row>
    <row r="4" spans="1:68" x14ac:dyDescent="0.25">
      <c r="B4" s="1" t="str">
        <f t="shared" ref="B4:G4" si="12">"QQ" &amp; (42 - (COLUMN() - COLUMN($A$2)) * 2)</f>
        <v>QQ40</v>
      </c>
      <c r="C4" s="1" t="str">
        <f t="shared" si="12"/>
        <v>QQ38</v>
      </c>
      <c r="D4" s="1" t="str">
        <f t="shared" si="12"/>
        <v>QQ36</v>
      </c>
      <c r="E4" s="1" t="str">
        <f t="shared" si="12"/>
        <v>QQ34</v>
      </c>
      <c r="F4" s="1" t="str">
        <f t="shared" si="12"/>
        <v>QQ32</v>
      </c>
      <c r="G4" s="1" t="str">
        <f t="shared" si="12"/>
        <v>QQ30</v>
      </c>
      <c r="H4" s="2" t="s">
        <v>0</v>
      </c>
      <c r="I4" s="1" t="str">
        <f t="shared" ref="I4:V4" si="13">"QQ" &amp; (44 - (COLUMN() - COLUMN($A$2)) * 2)</f>
        <v>QQ28</v>
      </c>
      <c r="J4" s="1" t="str">
        <f t="shared" si="13"/>
        <v>QQ26</v>
      </c>
      <c r="K4" s="1" t="str">
        <f t="shared" si="13"/>
        <v>QQ24</v>
      </c>
      <c r="L4" s="1" t="str">
        <f t="shared" si="13"/>
        <v>QQ22</v>
      </c>
      <c r="M4" s="1" t="str">
        <f t="shared" si="13"/>
        <v>QQ20</v>
      </c>
      <c r="N4" s="1" t="str">
        <f t="shared" si="13"/>
        <v>QQ18</v>
      </c>
      <c r="O4" s="1" t="str">
        <f t="shared" si="13"/>
        <v>QQ16</v>
      </c>
      <c r="P4" s="1" t="str">
        <f t="shared" si="13"/>
        <v>QQ14</v>
      </c>
      <c r="Q4" s="1" t="str">
        <f t="shared" si="13"/>
        <v>QQ12</v>
      </c>
      <c r="R4" s="1" t="str">
        <f t="shared" si="13"/>
        <v>QQ10</v>
      </c>
      <c r="S4" s="1" t="str">
        <f t="shared" si="13"/>
        <v>QQ8</v>
      </c>
      <c r="T4" s="1" t="str">
        <f t="shared" si="13"/>
        <v>QQ6</v>
      </c>
      <c r="U4" s="1" t="str">
        <f t="shared" si="13"/>
        <v>QQ4</v>
      </c>
      <c r="V4" s="1" t="str">
        <f t="shared" si="13"/>
        <v>QQ2</v>
      </c>
      <c r="W4" s="2" t="s">
        <v>0</v>
      </c>
      <c r="X4" s="2" t="s">
        <v>0</v>
      </c>
      <c r="Y4" s="2" t="s">
        <v>0</v>
      </c>
      <c r="Z4" s="2" t="s">
        <v>0</v>
      </c>
      <c r="AA4" s="1" t="str">
        <f t="shared" ref="AA4:AO4" si="14">"QQ" &amp; (99 + COLUMNS($A1:A1))</f>
        <v>QQ100</v>
      </c>
      <c r="AB4" s="1" t="str">
        <f t="shared" si="14"/>
        <v>QQ101</v>
      </c>
      <c r="AC4" s="1" t="str">
        <f t="shared" si="14"/>
        <v>QQ102</v>
      </c>
      <c r="AD4" s="1" t="str">
        <f t="shared" si="14"/>
        <v>QQ103</v>
      </c>
      <c r="AE4" s="1" t="str">
        <f t="shared" si="14"/>
        <v>QQ104</v>
      </c>
      <c r="AF4" s="1" t="str">
        <f t="shared" si="14"/>
        <v>QQ105</v>
      </c>
      <c r="AG4" s="1" t="str">
        <f t="shared" si="14"/>
        <v>QQ106</v>
      </c>
      <c r="AH4" s="1" t="str">
        <f t="shared" si="14"/>
        <v>QQ107</v>
      </c>
      <c r="AI4" s="1" t="str">
        <f t="shared" si="14"/>
        <v>QQ108</v>
      </c>
      <c r="AJ4" s="1" t="str">
        <f t="shared" si="14"/>
        <v>QQ109</v>
      </c>
      <c r="AK4" s="1" t="str">
        <f t="shared" si="14"/>
        <v>QQ110</v>
      </c>
      <c r="AL4" s="1" t="str">
        <f t="shared" si="14"/>
        <v>QQ111</v>
      </c>
      <c r="AM4" s="1" t="str">
        <f t="shared" si="14"/>
        <v>QQ112</v>
      </c>
      <c r="AN4" s="1" t="str">
        <f t="shared" si="14"/>
        <v>QQ113</v>
      </c>
      <c r="AO4" s="1" t="str">
        <f t="shared" si="14"/>
        <v>QQ114</v>
      </c>
      <c r="AQ4" s="2" t="s">
        <v>0</v>
      </c>
      <c r="AR4" s="2" t="s">
        <v>0</v>
      </c>
      <c r="AS4" s="2" t="s">
        <v>0</v>
      </c>
      <c r="AT4" s="1" t="str">
        <f t="shared" ref="AT4:BH4" si="15">"QQ" &amp; (1 + (COLUMNS($A3:A3) - 1) * 2)</f>
        <v>QQ1</v>
      </c>
      <c r="AU4" s="1" t="str">
        <f t="shared" si="15"/>
        <v>QQ3</v>
      </c>
      <c r="AV4" s="1" t="str">
        <f t="shared" si="15"/>
        <v>QQ5</v>
      </c>
      <c r="AW4" s="1" t="str">
        <f t="shared" si="15"/>
        <v>QQ7</v>
      </c>
      <c r="AX4" s="1" t="str">
        <f t="shared" si="15"/>
        <v>QQ9</v>
      </c>
      <c r="AY4" s="1" t="str">
        <f t="shared" si="15"/>
        <v>QQ11</v>
      </c>
      <c r="AZ4" s="1" t="str">
        <f t="shared" si="15"/>
        <v>QQ13</v>
      </c>
      <c r="BA4" s="1" t="str">
        <f t="shared" si="15"/>
        <v>QQ15</v>
      </c>
      <c r="BB4" s="1" t="str">
        <f t="shared" si="15"/>
        <v>QQ17</v>
      </c>
      <c r="BC4" s="1" t="str">
        <f t="shared" si="15"/>
        <v>QQ19</v>
      </c>
      <c r="BD4" s="1" t="str">
        <f t="shared" si="15"/>
        <v>QQ21</v>
      </c>
      <c r="BE4" s="1" t="str">
        <f t="shared" si="15"/>
        <v>QQ23</v>
      </c>
      <c r="BF4" s="1" t="str">
        <f t="shared" si="15"/>
        <v>QQ25</v>
      </c>
      <c r="BG4" s="1" t="str">
        <f t="shared" si="15"/>
        <v>QQ27</v>
      </c>
      <c r="BH4" s="1" t="str">
        <f t="shared" si="15"/>
        <v>QQ29</v>
      </c>
      <c r="BJ4" s="1" t="str">
        <f t="shared" ref="BJ4:BO4" si="16">"QQ" &amp; (1 + (COLUMNS($A3:P3) - 1) * 2)</f>
        <v>QQ31</v>
      </c>
      <c r="BK4" s="1" t="str">
        <f t="shared" si="16"/>
        <v>QQ33</v>
      </c>
      <c r="BL4" s="1" t="str">
        <f t="shared" si="16"/>
        <v>QQ35</v>
      </c>
      <c r="BM4" s="1" t="str">
        <f t="shared" si="16"/>
        <v>QQ37</v>
      </c>
      <c r="BN4" s="1" t="str">
        <f t="shared" si="16"/>
        <v>QQ39</v>
      </c>
      <c r="BO4" s="1" t="str">
        <f t="shared" si="16"/>
        <v>QQ41</v>
      </c>
    </row>
    <row r="5" spans="1:68" x14ac:dyDescent="0.25">
      <c r="B5" s="1" t="str">
        <f t="shared" ref="B5:G5" si="17">"PP" &amp; (42 - (COLUMN() - COLUMN($A$2)) * 2)</f>
        <v>PP40</v>
      </c>
      <c r="C5" s="1" t="str">
        <f t="shared" si="17"/>
        <v>PP38</v>
      </c>
      <c r="D5" s="1" t="str">
        <f t="shared" si="17"/>
        <v>PP36</v>
      </c>
      <c r="E5" s="1" t="str">
        <f t="shared" si="17"/>
        <v>PP34</v>
      </c>
      <c r="F5" s="1" t="str">
        <f t="shared" si="17"/>
        <v>PP32</v>
      </c>
      <c r="G5" s="1" t="str">
        <f t="shared" si="17"/>
        <v>PP30</v>
      </c>
      <c r="H5" s="2" t="s">
        <v>0</v>
      </c>
      <c r="I5" s="1" t="str">
        <f t="shared" ref="I5:V5" si="18">"PP" &amp; (44 - (COLUMN() - COLUMN($A$2)) * 2)</f>
        <v>PP28</v>
      </c>
      <c r="J5" s="1" t="str">
        <f t="shared" si="18"/>
        <v>PP26</v>
      </c>
      <c r="K5" s="1" t="str">
        <f t="shared" si="18"/>
        <v>PP24</v>
      </c>
      <c r="L5" s="1" t="str">
        <f t="shared" si="18"/>
        <v>PP22</v>
      </c>
      <c r="M5" s="1" t="str">
        <f t="shared" si="18"/>
        <v>PP20</v>
      </c>
      <c r="N5" s="1" t="str">
        <f t="shared" si="18"/>
        <v>PP18</v>
      </c>
      <c r="O5" s="1" t="str">
        <f t="shared" si="18"/>
        <v>PP16</v>
      </c>
      <c r="P5" s="1" t="str">
        <f t="shared" si="18"/>
        <v>PP14</v>
      </c>
      <c r="Q5" s="1" t="str">
        <f t="shared" si="18"/>
        <v>PP12</v>
      </c>
      <c r="R5" s="1" t="str">
        <f t="shared" si="18"/>
        <v>PP10</v>
      </c>
      <c r="S5" s="1" t="str">
        <f t="shared" si="18"/>
        <v>PP8</v>
      </c>
      <c r="T5" s="1" t="str">
        <f t="shared" si="18"/>
        <v>PP6</v>
      </c>
      <c r="U5" s="1" t="str">
        <f t="shared" si="18"/>
        <v>PP4</v>
      </c>
      <c r="V5" s="1" t="str">
        <f t="shared" si="18"/>
        <v>PP2</v>
      </c>
      <c r="W5" s="2" t="s">
        <v>0</v>
      </c>
      <c r="X5" s="2" t="s">
        <v>0</v>
      </c>
      <c r="Y5" s="2" t="s">
        <v>0</v>
      </c>
      <c r="Z5" s="2" t="s">
        <v>0</v>
      </c>
      <c r="AA5" s="1" t="str">
        <f t="shared" ref="AA5:AP5" si="19">"PP" &amp; (99 + COLUMNS($A1:A1))</f>
        <v>PP100</v>
      </c>
      <c r="AB5" s="1" t="str">
        <f t="shared" si="19"/>
        <v>PP101</v>
      </c>
      <c r="AC5" s="1" t="str">
        <f t="shared" si="19"/>
        <v>PP102</v>
      </c>
      <c r="AD5" s="1" t="str">
        <f t="shared" si="19"/>
        <v>PP103</v>
      </c>
      <c r="AE5" s="1" t="str">
        <f t="shared" si="19"/>
        <v>PP104</v>
      </c>
      <c r="AF5" s="1" t="str">
        <f t="shared" si="19"/>
        <v>PP105</v>
      </c>
      <c r="AG5" s="1" t="str">
        <f t="shared" si="19"/>
        <v>PP106</v>
      </c>
      <c r="AH5" s="1" t="str">
        <f t="shared" si="19"/>
        <v>PP107</v>
      </c>
      <c r="AI5" s="1" t="str">
        <f t="shared" si="19"/>
        <v>PP108</v>
      </c>
      <c r="AJ5" s="1" t="str">
        <f t="shared" si="19"/>
        <v>PP109</v>
      </c>
      <c r="AK5" s="1" t="str">
        <f t="shared" si="19"/>
        <v>PP110</v>
      </c>
      <c r="AL5" s="1" t="str">
        <f t="shared" si="19"/>
        <v>PP111</v>
      </c>
      <c r="AM5" s="1" t="str">
        <f t="shared" si="19"/>
        <v>PP112</v>
      </c>
      <c r="AN5" s="1" t="str">
        <f t="shared" si="19"/>
        <v>PP113</v>
      </c>
      <c r="AO5" s="1" t="str">
        <f t="shared" si="19"/>
        <v>PP114</v>
      </c>
      <c r="AP5" s="1" t="str">
        <f t="shared" si="19"/>
        <v>PP115</v>
      </c>
      <c r="AQ5" s="2" t="s">
        <v>0</v>
      </c>
      <c r="AR5" s="2" t="s">
        <v>0</v>
      </c>
      <c r="AS5" s="2" t="s">
        <v>0</v>
      </c>
      <c r="AT5" s="1" t="str">
        <f t="shared" ref="AT5:BH5" si="20">"PP" &amp; (1 + (COLUMNS($A4:A4) - 1) * 2)</f>
        <v>PP1</v>
      </c>
      <c r="AU5" s="1" t="str">
        <f t="shared" si="20"/>
        <v>PP3</v>
      </c>
      <c r="AV5" s="1" t="str">
        <f t="shared" si="20"/>
        <v>PP5</v>
      </c>
      <c r="AW5" s="1" t="str">
        <f t="shared" si="20"/>
        <v>PP7</v>
      </c>
      <c r="AX5" s="1" t="str">
        <f t="shared" si="20"/>
        <v>PP9</v>
      </c>
      <c r="AY5" s="1" t="str">
        <f t="shared" si="20"/>
        <v>PP11</v>
      </c>
      <c r="AZ5" s="1" t="str">
        <f t="shared" si="20"/>
        <v>PP13</v>
      </c>
      <c r="BA5" s="1" t="str">
        <f t="shared" si="20"/>
        <v>PP15</v>
      </c>
      <c r="BB5" s="1" t="str">
        <f t="shared" si="20"/>
        <v>PP17</v>
      </c>
      <c r="BC5" s="1" t="str">
        <f t="shared" si="20"/>
        <v>PP19</v>
      </c>
      <c r="BD5" s="1" t="str">
        <f t="shared" si="20"/>
        <v>PP21</v>
      </c>
      <c r="BE5" s="1" t="str">
        <f t="shared" si="20"/>
        <v>PP23</v>
      </c>
      <c r="BF5" s="1" t="str">
        <f t="shared" si="20"/>
        <v>PP25</v>
      </c>
      <c r="BG5" s="1" t="str">
        <f t="shared" si="20"/>
        <v>PP27</v>
      </c>
      <c r="BH5" s="1" t="str">
        <f t="shared" si="20"/>
        <v>PP29</v>
      </c>
      <c r="BJ5" s="1" t="str">
        <f t="shared" ref="BJ5:BO5" si="21">"PP" &amp; (1 + (COLUMNS($A4:P4) - 1) * 2)</f>
        <v>PP31</v>
      </c>
      <c r="BK5" s="1" t="str">
        <f t="shared" si="21"/>
        <v>PP33</v>
      </c>
      <c r="BL5" s="1" t="str">
        <f t="shared" si="21"/>
        <v>PP35</v>
      </c>
      <c r="BM5" s="1" t="str">
        <f t="shared" si="21"/>
        <v>PP37</v>
      </c>
      <c r="BN5" s="1" t="str">
        <f t="shared" si="21"/>
        <v>PP39</v>
      </c>
      <c r="BO5" s="1" t="str">
        <f t="shared" si="21"/>
        <v>PP41</v>
      </c>
    </row>
    <row r="6" spans="1:68" x14ac:dyDescent="0.25">
      <c r="B6" s="1" t="str">
        <f t="shared" ref="B6:G6" si="22">"OO" &amp; (42 - (COLUMN() - COLUMN($A$2)) * 2)</f>
        <v>OO40</v>
      </c>
      <c r="C6" s="1" t="str">
        <f t="shared" si="22"/>
        <v>OO38</v>
      </c>
      <c r="D6" s="1" t="str">
        <f t="shared" si="22"/>
        <v>OO36</v>
      </c>
      <c r="E6" s="1" t="str">
        <f t="shared" si="22"/>
        <v>OO34</v>
      </c>
      <c r="F6" s="1" t="str">
        <f t="shared" si="22"/>
        <v>OO32</v>
      </c>
      <c r="G6" s="1" t="str">
        <f t="shared" si="22"/>
        <v>OO30</v>
      </c>
      <c r="H6" s="2" t="s">
        <v>0</v>
      </c>
      <c r="I6" s="1" t="str">
        <f t="shared" ref="I6:V6" si="23">"OO" &amp; (44 - (COLUMN() - COLUMN($A$2)) * 2)</f>
        <v>OO28</v>
      </c>
      <c r="J6" s="1" t="str">
        <f t="shared" si="23"/>
        <v>OO26</v>
      </c>
      <c r="K6" s="1" t="str">
        <f t="shared" si="23"/>
        <v>OO24</v>
      </c>
      <c r="L6" s="1" t="str">
        <f t="shared" si="23"/>
        <v>OO22</v>
      </c>
      <c r="M6" s="1" t="str">
        <f t="shared" si="23"/>
        <v>OO20</v>
      </c>
      <c r="N6" s="1" t="str">
        <f t="shared" si="23"/>
        <v>OO18</v>
      </c>
      <c r="O6" s="1" t="str">
        <f t="shared" si="23"/>
        <v>OO16</v>
      </c>
      <c r="P6" s="1" t="str">
        <f t="shared" si="23"/>
        <v>OO14</v>
      </c>
      <c r="Q6" s="1" t="str">
        <f t="shared" si="23"/>
        <v>OO12</v>
      </c>
      <c r="R6" s="1" t="str">
        <f t="shared" si="23"/>
        <v>OO10</v>
      </c>
      <c r="S6" s="1" t="str">
        <f t="shared" si="23"/>
        <v>OO8</v>
      </c>
      <c r="T6" s="1" t="str">
        <f t="shared" si="23"/>
        <v>OO6</v>
      </c>
      <c r="U6" s="1" t="str">
        <f t="shared" si="23"/>
        <v>OO4</v>
      </c>
      <c r="V6" s="1" t="str">
        <f t="shared" si="23"/>
        <v>OO2</v>
      </c>
      <c r="W6" s="2" t="s">
        <v>0</v>
      </c>
      <c r="X6" s="2" t="s">
        <v>0</v>
      </c>
      <c r="Y6" s="2" t="s">
        <v>0</v>
      </c>
      <c r="Z6" s="2" t="s">
        <v>0</v>
      </c>
      <c r="AA6" s="1" t="str">
        <f t="shared" ref="AA6:AO6" si="24">"OO" &amp; (99 + COLUMNS($A1:A1))</f>
        <v>OO100</v>
      </c>
      <c r="AB6" s="1" t="str">
        <f t="shared" si="24"/>
        <v>OO101</v>
      </c>
      <c r="AC6" s="1" t="str">
        <f t="shared" si="24"/>
        <v>OO102</v>
      </c>
      <c r="AD6" s="1" t="str">
        <f t="shared" si="24"/>
        <v>OO103</v>
      </c>
      <c r="AE6" s="1" t="str">
        <f t="shared" si="24"/>
        <v>OO104</v>
      </c>
      <c r="AF6" s="1" t="str">
        <f t="shared" si="24"/>
        <v>OO105</v>
      </c>
      <c r="AG6" s="1" t="str">
        <f t="shared" si="24"/>
        <v>OO106</v>
      </c>
      <c r="AH6" s="1" t="str">
        <f t="shared" si="24"/>
        <v>OO107</v>
      </c>
      <c r="AI6" s="1" t="str">
        <f t="shared" si="24"/>
        <v>OO108</v>
      </c>
      <c r="AJ6" s="1" t="str">
        <f t="shared" si="24"/>
        <v>OO109</v>
      </c>
      <c r="AK6" s="1" t="str">
        <f t="shared" si="24"/>
        <v>OO110</v>
      </c>
      <c r="AL6" s="1" t="str">
        <f t="shared" si="24"/>
        <v>OO111</v>
      </c>
      <c r="AM6" s="1" t="str">
        <f t="shared" si="24"/>
        <v>OO112</v>
      </c>
      <c r="AN6" s="1" t="str">
        <f t="shared" si="24"/>
        <v>OO113</v>
      </c>
      <c r="AO6" s="1" t="str">
        <f t="shared" si="24"/>
        <v>OO114</v>
      </c>
      <c r="AQ6" s="2" t="s">
        <v>0</v>
      </c>
      <c r="AR6" s="2" t="s">
        <v>0</v>
      </c>
      <c r="AS6" s="2" t="s">
        <v>0</v>
      </c>
      <c r="AT6" s="1" t="str">
        <f t="shared" ref="AT6:BH6" si="25">"OO" &amp; (1 + (COLUMNS($A5:A5) - 1) * 2)</f>
        <v>OO1</v>
      </c>
      <c r="AU6" s="1" t="str">
        <f t="shared" si="25"/>
        <v>OO3</v>
      </c>
      <c r="AV6" s="1" t="str">
        <f t="shared" si="25"/>
        <v>OO5</v>
      </c>
      <c r="AW6" s="1" t="str">
        <f t="shared" si="25"/>
        <v>OO7</v>
      </c>
      <c r="AX6" s="1" t="str">
        <f t="shared" si="25"/>
        <v>OO9</v>
      </c>
      <c r="AY6" s="1" t="str">
        <f t="shared" si="25"/>
        <v>OO11</v>
      </c>
      <c r="AZ6" s="1" t="str">
        <f t="shared" si="25"/>
        <v>OO13</v>
      </c>
      <c r="BA6" s="1" t="str">
        <f t="shared" si="25"/>
        <v>OO15</v>
      </c>
      <c r="BB6" s="1" t="str">
        <f t="shared" si="25"/>
        <v>OO17</v>
      </c>
      <c r="BC6" s="1" t="str">
        <f t="shared" si="25"/>
        <v>OO19</v>
      </c>
      <c r="BD6" s="1" t="str">
        <f t="shared" si="25"/>
        <v>OO21</v>
      </c>
      <c r="BE6" s="1" t="str">
        <f t="shared" si="25"/>
        <v>OO23</v>
      </c>
      <c r="BF6" s="1" t="str">
        <f t="shared" si="25"/>
        <v>OO25</v>
      </c>
      <c r="BG6" s="1" t="str">
        <f t="shared" si="25"/>
        <v>OO27</v>
      </c>
      <c r="BH6" s="1" t="str">
        <f t="shared" si="25"/>
        <v>OO29</v>
      </c>
      <c r="BJ6" s="1" t="str">
        <f t="shared" ref="BJ6:BO6" si="26">"OO" &amp; (1 + (COLUMNS($A5:P5) - 1) * 2)</f>
        <v>OO31</v>
      </c>
      <c r="BK6" s="1" t="str">
        <f t="shared" si="26"/>
        <v>OO33</v>
      </c>
      <c r="BL6" s="1" t="str">
        <f t="shared" si="26"/>
        <v>OO35</v>
      </c>
      <c r="BM6" s="1" t="str">
        <f t="shared" si="26"/>
        <v>OO37</v>
      </c>
      <c r="BN6" s="1" t="str">
        <f t="shared" si="26"/>
        <v>OO39</v>
      </c>
      <c r="BO6" s="1" t="str">
        <f t="shared" si="26"/>
        <v>OO41</v>
      </c>
    </row>
    <row r="7" spans="1:68" x14ac:dyDescent="0.25">
      <c r="B7" s="1" t="str">
        <f t="shared" ref="B7:G7" si="27">"NN" &amp; (42 - (COLUMN() - COLUMN($A$2)) * 2)</f>
        <v>NN40</v>
      </c>
      <c r="C7" s="1" t="str">
        <f t="shared" si="27"/>
        <v>NN38</v>
      </c>
      <c r="D7" s="1" t="str">
        <f t="shared" si="27"/>
        <v>NN36</v>
      </c>
      <c r="E7" s="1" t="str">
        <f t="shared" si="27"/>
        <v>NN34</v>
      </c>
      <c r="F7" s="1" t="str">
        <f t="shared" si="27"/>
        <v>NN32</v>
      </c>
      <c r="G7" s="1" t="str">
        <f t="shared" si="27"/>
        <v>NN30</v>
      </c>
      <c r="H7" s="2" t="s">
        <v>0</v>
      </c>
      <c r="I7" s="1" t="str">
        <f t="shared" ref="I7:V7" si="28">"NN" &amp; (44 - (COLUMN() - COLUMN($A$2)) * 2)</f>
        <v>NN28</v>
      </c>
      <c r="J7" s="1" t="str">
        <f t="shared" si="28"/>
        <v>NN26</v>
      </c>
      <c r="K7" s="1" t="str">
        <f t="shared" si="28"/>
        <v>NN24</v>
      </c>
      <c r="L7" s="1" t="str">
        <f t="shared" si="28"/>
        <v>NN22</v>
      </c>
      <c r="M7" s="1" t="str">
        <f t="shared" si="28"/>
        <v>NN20</v>
      </c>
      <c r="N7" s="1" t="str">
        <f t="shared" si="28"/>
        <v>NN18</v>
      </c>
      <c r="O7" s="1" t="str">
        <f t="shared" si="28"/>
        <v>NN16</v>
      </c>
      <c r="P7" s="1" t="str">
        <f t="shared" si="28"/>
        <v>NN14</v>
      </c>
      <c r="Q7" s="1" t="str">
        <f t="shared" si="28"/>
        <v>NN12</v>
      </c>
      <c r="R7" s="1" t="str">
        <f t="shared" si="28"/>
        <v>NN10</v>
      </c>
      <c r="S7" s="1" t="str">
        <f t="shared" si="28"/>
        <v>NN8</v>
      </c>
      <c r="T7" s="1" t="str">
        <f t="shared" si="28"/>
        <v>NN6</v>
      </c>
      <c r="U7" s="1" t="str">
        <f t="shared" si="28"/>
        <v>NN4</v>
      </c>
      <c r="V7" s="1" t="str">
        <f t="shared" si="28"/>
        <v>NN2</v>
      </c>
      <c r="W7" s="2" t="s">
        <v>0</v>
      </c>
      <c r="X7" s="2" t="s">
        <v>0</v>
      </c>
      <c r="Y7" s="2" t="s">
        <v>0</v>
      </c>
      <c r="Z7" s="2" t="s">
        <v>0</v>
      </c>
      <c r="AA7" s="1" t="str">
        <f t="shared" ref="AA7:AP7" si="29">"NN" &amp; (99 + COLUMNS($A1:A1))</f>
        <v>NN100</v>
      </c>
      <c r="AB7" s="1" t="str">
        <f t="shared" si="29"/>
        <v>NN101</v>
      </c>
      <c r="AC7" s="1" t="str">
        <f t="shared" si="29"/>
        <v>NN102</v>
      </c>
      <c r="AD7" s="1" t="str">
        <f t="shared" si="29"/>
        <v>NN103</v>
      </c>
      <c r="AE7" s="1" t="str">
        <f t="shared" si="29"/>
        <v>NN104</v>
      </c>
      <c r="AF7" s="1" t="str">
        <f t="shared" si="29"/>
        <v>NN105</v>
      </c>
      <c r="AG7" s="1" t="str">
        <f t="shared" si="29"/>
        <v>NN106</v>
      </c>
      <c r="AH7" s="1" t="str">
        <f t="shared" si="29"/>
        <v>NN107</v>
      </c>
      <c r="AI7" s="1" t="str">
        <f t="shared" si="29"/>
        <v>NN108</v>
      </c>
      <c r="AJ7" s="1" t="str">
        <f t="shared" si="29"/>
        <v>NN109</v>
      </c>
      <c r="AK7" s="1" t="str">
        <f t="shared" si="29"/>
        <v>NN110</v>
      </c>
      <c r="AL7" s="1" t="str">
        <f t="shared" si="29"/>
        <v>NN111</v>
      </c>
      <c r="AM7" s="1" t="str">
        <f t="shared" si="29"/>
        <v>NN112</v>
      </c>
      <c r="AN7" s="1" t="str">
        <f t="shared" si="29"/>
        <v>NN113</v>
      </c>
      <c r="AO7" s="1" t="str">
        <f t="shared" si="29"/>
        <v>NN114</v>
      </c>
      <c r="AP7" s="1" t="str">
        <f t="shared" si="29"/>
        <v>NN115</v>
      </c>
      <c r="AQ7" s="2" t="s">
        <v>0</v>
      </c>
      <c r="AR7" s="2" t="s">
        <v>0</v>
      </c>
      <c r="AS7" s="2" t="s">
        <v>0</v>
      </c>
      <c r="AT7" s="1" t="str">
        <f t="shared" ref="AT7:BH7" si="30">"NN" &amp; (1 + (COLUMNS($A6:A6) - 1) * 2)</f>
        <v>NN1</v>
      </c>
      <c r="AU7" s="1" t="str">
        <f t="shared" si="30"/>
        <v>NN3</v>
      </c>
      <c r="AV7" s="1" t="str">
        <f t="shared" si="30"/>
        <v>NN5</v>
      </c>
      <c r="AW7" s="1" t="str">
        <f t="shared" si="30"/>
        <v>NN7</v>
      </c>
      <c r="AX7" s="1" t="str">
        <f t="shared" si="30"/>
        <v>NN9</v>
      </c>
      <c r="AY7" s="1" t="str">
        <f t="shared" si="30"/>
        <v>NN11</v>
      </c>
      <c r="AZ7" s="1" t="str">
        <f t="shared" si="30"/>
        <v>NN13</v>
      </c>
      <c r="BA7" s="1" t="str">
        <f t="shared" si="30"/>
        <v>NN15</v>
      </c>
      <c r="BB7" s="1" t="str">
        <f t="shared" si="30"/>
        <v>NN17</v>
      </c>
      <c r="BC7" s="1" t="str">
        <f t="shared" si="30"/>
        <v>NN19</v>
      </c>
      <c r="BD7" s="1" t="str">
        <f t="shared" si="30"/>
        <v>NN21</v>
      </c>
      <c r="BE7" s="1" t="str">
        <f t="shared" si="30"/>
        <v>NN23</v>
      </c>
      <c r="BF7" s="1" t="str">
        <f t="shared" si="30"/>
        <v>NN25</v>
      </c>
      <c r="BG7" s="1" t="str">
        <f t="shared" si="30"/>
        <v>NN27</v>
      </c>
      <c r="BH7" s="1" t="str">
        <f t="shared" si="30"/>
        <v>NN29</v>
      </c>
      <c r="BJ7" s="1" t="str">
        <f t="shared" ref="BJ7:BO7" si="31">"NN" &amp; (1 + (COLUMNS($A6:P6) - 1) * 2)</f>
        <v>NN31</v>
      </c>
      <c r="BK7" s="1" t="str">
        <f t="shared" si="31"/>
        <v>NN33</v>
      </c>
      <c r="BL7" s="1" t="str">
        <f t="shared" si="31"/>
        <v>NN35</v>
      </c>
      <c r="BM7" s="1" t="str">
        <f t="shared" si="31"/>
        <v>NN37</v>
      </c>
      <c r="BN7" s="1" t="str">
        <f t="shared" si="31"/>
        <v>NN39</v>
      </c>
      <c r="BO7" s="1" t="str">
        <f t="shared" si="31"/>
        <v>NN41</v>
      </c>
    </row>
    <row r="8" spans="1:68" x14ac:dyDescent="0.25">
      <c r="B8" s="1" t="str">
        <f t="shared" ref="B8:G8" si="32">"MM" &amp; (42 - (COLUMN() - COLUMN($A$2)) * 2)</f>
        <v>MM40</v>
      </c>
      <c r="C8" s="1" t="str">
        <f t="shared" si="32"/>
        <v>MM38</v>
      </c>
      <c r="D8" s="1" t="str">
        <f t="shared" si="32"/>
        <v>MM36</v>
      </c>
      <c r="E8" s="1" t="str">
        <f t="shared" si="32"/>
        <v>MM34</v>
      </c>
      <c r="F8" s="1" t="str">
        <f t="shared" si="32"/>
        <v>MM32</v>
      </c>
      <c r="G8" s="1" t="str">
        <f t="shared" si="32"/>
        <v>MM30</v>
      </c>
      <c r="H8" s="2" t="s">
        <v>0</v>
      </c>
      <c r="I8" s="1" t="str">
        <f t="shared" ref="I8:V8" si="33">"MM" &amp; (44 - (COLUMN() - COLUMN($A$2)) * 2)</f>
        <v>MM28</v>
      </c>
      <c r="J8" s="1" t="str">
        <f t="shared" si="33"/>
        <v>MM26</v>
      </c>
      <c r="K8" s="1" t="str">
        <f t="shared" si="33"/>
        <v>MM24</v>
      </c>
      <c r="L8" s="1" t="str">
        <f t="shared" si="33"/>
        <v>MM22</v>
      </c>
      <c r="M8" s="1" t="str">
        <f t="shared" si="33"/>
        <v>MM20</v>
      </c>
      <c r="N8" s="1" t="str">
        <f t="shared" si="33"/>
        <v>MM18</v>
      </c>
      <c r="O8" s="1" t="str">
        <f t="shared" si="33"/>
        <v>MM16</v>
      </c>
      <c r="P8" s="1" t="str">
        <f t="shared" si="33"/>
        <v>MM14</v>
      </c>
      <c r="Q8" s="1" t="str">
        <f t="shared" si="33"/>
        <v>MM12</v>
      </c>
      <c r="R8" s="1" t="str">
        <f t="shared" si="33"/>
        <v>MM10</v>
      </c>
      <c r="S8" s="1" t="str">
        <f t="shared" si="33"/>
        <v>MM8</v>
      </c>
      <c r="T8" s="1" t="str">
        <f t="shared" si="33"/>
        <v>MM6</v>
      </c>
      <c r="U8" s="1" t="str">
        <f t="shared" si="33"/>
        <v>MM4</v>
      </c>
      <c r="V8" s="1" t="str">
        <f t="shared" si="33"/>
        <v>MM2</v>
      </c>
      <c r="W8" s="2" t="s">
        <v>0</v>
      </c>
      <c r="X8" s="2" t="s">
        <v>0</v>
      </c>
      <c r="Y8" s="2" t="s">
        <v>0</v>
      </c>
      <c r="Z8" s="2" t="s">
        <v>0</v>
      </c>
      <c r="AA8" s="1" t="str">
        <f t="shared" ref="AA8:AO8" si="34">"MM" &amp; (99 + COLUMNS($A2:A2))</f>
        <v>MM100</v>
      </c>
      <c r="AB8" s="1" t="str">
        <f t="shared" si="34"/>
        <v>MM101</v>
      </c>
      <c r="AC8" s="1" t="str">
        <f t="shared" si="34"/>
        <v>MM102</v>
      </c>
      <c r="AD8" s="1" t="str">
        <f t="shared" si="34"/>
        <v>MM103</v>
      </c>
      <c r="AE8" s="1" t="str">
        <f t="shared" si="34"/>
        <v>MM104</v>
      </c>
      <c r="AF8" s="1" t="str">
        <f t="shared" si="34"/>
        <v>MM105</v>
      </c>
      <c r="AG8" s="1" t="str">
        <f t="shared" si="34"/>
        <v>MM106</v>
      </c>
      <c r="AH8" s="1" t="str">
        <f t="shared" si="34"/>
        <v>MM107</v>
      </c>
      <c r="AI8" s="1" t="str">
        <f t="shared" si="34"/>
        <v>MM108</v>
      </c>
      <c r="AJ8" s="1" t="str">
        <f t="shared" si="34"/>
        <v>MM109</v>
      </c>
      <c r="AK8" s="1" t="str">
        <f t="shared" si="34"/>
        <v>MM110</v>
      </c>
      <c r="AL8" s="1" t="str">
        <f t="shared" si="34"/>
        <v>MM111</v>
      </c>
      <c r="AM8" s="1" t="str">
        <f t="shared" si="34"/>
        <v>MM112</v>
      </c>
      <c r="AN8" s="1" t="str">
        <f t="shared" si="34"/>
        <v>MM113</v>
      </c>
      <c r="AO8" s="1" t="str">
        <f t="shared" si="34"/>
        <v>MM114</v>
      </c>
      <c r="AQ8" s="2" t="s">
        <v>0</v>
      </c>
      <c r="AR8" s="2" t="s">
        <v>0</v>
      </c>
      <c r="AS8" s="2" t="s">
        <v>0</v>
      </c>
      <c r="AT8" s="1" t="str">
        <f t="shared" ref="AT8:BH8" si="35">"MM" &amp; (1 + (COLUMNS($A7:A7) - 1) * 2)</f>
        <v>MM1</v>
      </c>
      <c r="AU8" s="1" t="str">
        <f t="shared" si="35"/>
        <v>MM3</v>
      </c>
      <c r="AV8" s="1" t="str">
        <f t="shared" si="35"/>
        <v>MM5</v>
      </c>
      <c r="AW8" s="1" t="str">
        <f t="shared" si="35"/>
        <v>MM7</v>
      </c>
      <c r="AX8" s="1" t="str">
        <f t="shared" si="35"/>
        <v>MM9</v>
      </c>
      <c r="AY8" s="1" t="str">
        <f t="shared" si="35"/>
        <v>MM11</v>
      </c>
      <c r="AZ8" s="1" t="str">
        <f t="shared" si="35"/>
        <v>MM13</v>
      </c>
      <c r="BA8" s="1" t="str">
        <f t="shared" si="35"/>
        <v>MM15</v>
      </c>
      <c r="BB8" s="1" t="str">
        <f t="shared" si="35"/>
        <v>MM17</v>
      </c>
      <c r="BC8" s="1" t="str">
        <f t="shared" si="35"/>
        <v>MM19</v>
      </c>
      <c r="BD8" s="1" t="str">
        <f t="shared" si="35"/>
        <v>MM21</v>
      </c>
      <c r="BE8" s="1" t="str">
        <f t="shared" si="35"/>
        <v>MM23</v>
      </c>
      <c r="BF8" s="1" t="str">
        <f t="shared" si="35"/>
        <v>MM25</v>
      </c>
      <c r="BG8" s="1" t="str">
        <f t="shared" si="35"/>
        <v>MM27</v>
      </c>
      <c r="BH8" s="1" t="str">
        <f t="shared" si="35"/>
        <v>MM29</v>
      </c>
      <c r="BJ8" s="1" t="str">
        <f t="shared" ref="BJ8:BO8" si="36">"MM" &amp; (1 + (COLUMNS($A7:P7) - 1) * 2)</f>
        <v>MM31</v>
      </c>
      <c r="BK8" s="1" t="str">
        <f t="shared" si="36"/>
        <v>MM33</v>
      </c>
      <c r="BL8" s="1" t="str">
        <f t="shared" si="36"/>
        <v>MM35</v>
      </c>
      <c r="BM8" s="1" t="str">
        <f t="shared" si="36"/>
        <v>MM37</v>
      </c>
      <c r="BN8" s="1" t="str">
        <f t="shared" si="36"/>
        <v>MM39</v>
      </c>
      <c r="BO8" s="1" t="str">
        <f t="shared" si="36"/>
        <v>MM41</v>
      </c>
    </row>
    <row r="9" spans="1:68" x14ac:dyDescent="0.25">
      <c r="B9" s="1" t="str">
        <f t="shared" ref="B9:G9" si="37">"LL" &amp; (42 - (COLUMN() - COLUMN($A$2)) * 2)</f>
        <v>LL40</v>
      </c>
      <c r="C9" s="1" t="str">
        <f t="shared" si="37"/>
        <v>LL38</v>
      </c>
      <c r="D9" s="1" t="str">
        <f t="shared" si="37"/>
        <v>LL36</v>
      </c>
      <c r="E9" s="1" t="str">
        <f t="shared" si="37"/>
        <v>LL34</v>
      </c>
      <c r="F9" s="1" t="str">
        <f t="shared" si="37"/>
        <v>LL32</v>
      </c>
      <c r="G9" s="1" t="str">
        <f t="shared" si="37"/>
        <v>LL30</v>
      </c>
      <c r="H9" s="2" t="s">
        <v>0</v>
      </c>
      <c r="I9" s="1" t="str">
        <f t="shared" ref="I9:V9" si="38">"LL" &amp; (44 - (COLUMN() - COLUMN($A$2)) * 2)</f>
        <v>LL28</v>
      </c>
      <c r="J9" s="1" t="str">
        <f t="shared" si="38"/>
        <v>LL26</v>
      </c>
      <c r="K9" s="1" t="str">
        <f t="shared" si="38"/>
        <v>LL24</v>
      </c>
      <c r="L9" s="1" t="str">
        <f t="shared" si="38"/>
        <v>LL22</v>
      </c>
      <c r="M9" s="1" t="str">
        <f t="shared" si="38"/>
        <v>LL20</v>
      </c>
      <c r="N9" s="1" t="str">
        <f t="shared" si="38"/>
        <v>LL18</v>
      </c>
      <c r="O9" s="1" t="str">
        <f t="shared" si="38"/>
        <v>LL16</v>
      </c>
      <c r="P9" s="1" t="str">
        <f t="shared" si="38"/>
        <v>LL14</v>
      </c>
      <c r="Q9" s="1" t="str">
        <f t="shared" si="38"/>
        <v>LL12</v>
      </c>
      <c r="R9" s="1" t="str">
        <f t="shared" si="38"/>
        <v>LL10</v>
      </c>
      <c r="S9" s="1" t="str">
        <f t="shared" si="38"/>
        <v>LL8</v>
      </c>
      <c r="T9" s="1" t="str">
        <f t="shared" si="38"/>
        <v>LL6</v>
      </c>
      <c r="U9" s="1" t="str">
        <f t="shared" si="38"/>
        <v>LL4</v>
      </c>
      <c r="V9" s="1" t="str">
        <f t="shared" si="38"/>
        <v>LL2</v>
      </c>
      <c r="W9" s="2" t="s">
        <v>0</v>
      </c>
      <c r="X9" s="2" t="s">
        <v>0</v>
      </c>
      <c r="Y9" s="2" t="s">
        <v>0</v>
      </c>
      <c r="Z9" s="2" t="s">
        <v>0</v>
      </c>
      <c r="AA9" s="1" t="str">
        <f t="shared" ref="AA9:AP9" si="39">"LL" &amp; (99 + COLUMNS($A3:A3))</f>
        <v>LL100</v>
      </c>
      <c r="AB9" s="1" t="str">
        <f t="shared" si="39"/>
        <v>LL101</v>
      </c>
      <c r="AC9" s="1" t="str">
        <f t="shared" si="39"/>
        <v>LL102</v>
      </c>
      <c r="AD9" s="1" t="str">
        <f t="shared" si="39"/>
        <v>LL103</v>
      </c>
      <c r="AE9" s="1" t="str">
        <f t="shared" si="39"/>
        <v>LL104</v>
      </c>
      <c r="AF9" s="1" t="str">
        <f t="shared" si="39"/>
        <v>LL105</v>
      </c>
      <c r="AG9" s="1" t="str">
        <f t="shared" si="39"/>
        <v>LL106</v>
      </c>
      <c r="AH9" s="1" t="str">
        <f t="shared" si="39"/>
        <v>LL107</v>
      </c>
      <c r="AI9" s="1" t="str">
        <f t="shared" si="39"/>
        <v>LL108</v>
      </c>
      <c r="AJ9" s="1" t="str">
        <f t="shared" si="39"/>
        <v>LL109</v>
      </c>
      <c r="AK9" s="1" t="str">
        <f t="shared" si="39"/>
        <v>LL110</v>
      </c>
      <c r="AL9" s="1" t="str">
        <f t="shared" si="39"/>
        <v>LL111</v>
      </c>
      <c r="AM9" s="1" t="str">
        <f t="shared" si="39"/>
        <v>LL112</v>
      </c>
      <c r="AN9" s="1" t="str">
        <f t="shared" si="39"/>
        <v>LL113</v>
      </c>
      <c r="AO9" s="1" t="str">
        <f t="shared" si="39"/>
        <v>LL114</v>
      </c>
      <c r="AP9" s="1" t="str">
        <f t="shared" si="39"/>
        <v>LL115</v>
      </c>
      <c r="AQ9" s="2" t="s">
        <v>0</v>
      </c>
      <c r="AR9" s="2" t="s">
        <v>0</v>
      </c>
      <c r="AS9" s="2" t="s">
        <v>0</v>
      </c>
      <c r="AT9" s="1" t="str">
        <f t="shared" ref="AT9:BH9" si="40">"LL" &amp; (1 + (COLUMNS($A8:A8) - 1) * 2)</f>
        <v>LL1</v>
      </c>
      <c r="AU9" s="1" t="str">
        <f t="shared" si="40"/>
        <v>LL3</v>
      </c>
      <c r="AV9" s="1" t="str">
        <f t="shared" si="40"/>
        <v>LL5</v>
      </c>
      <c r="AW9" s="1" t="str">
        <f t="shared" si="40"/>
        <v>LL7</v>
      </c>
      <c r="AX9" s="1" t="str">
        <f t="shared" si="40"/>
        <v>LL9</v>
      </c>
      <c r="AY9" s="1" t="str">
        <f t="shared" si="40"/>
        <v>LL11</v>
      </c>
      <c r="AZ9" s="1" t="str">
        <f t="shared" si="40"/>
        <v>LL13</v>
      </c>
      <c r="BA9" s="1" t="str">
        <f t="shared" si="40"/>
        <v>LL15</v>
      </c>
      <c r="BB9" s="1" t="str">
        <f t="shared" si="40"/>
        <v>LL17</v>
      </c>
      <c r="BC9" s="1" t="str">
        <f t="shared" si="40"/>
        <v>LL19</v>
      </c>
      <c r="BD9" s="1" t="str">
        <f t="shared" si="40"/>
        <v>LL21</v>
      </c>
      <c r="BE9" s="1" t="str">
        <f t="shared" si="40"/>
        <v>LL23</v>
      </c>
      <c r="BF9" s="1" t="str">
        <f t="shared" si="40"/>
        <v>LL25</v>
      </c>
      <c r="BG9" s="1" t="str">
        <f t="shared" si="40"/>
        <v>LL27</v>
      </c>
      <c r="BH9" s="1" t="str">
        <f t="shared" si="40"/>
        <v>LL29</v>
      </c>
      <c r="BJ9" s="1" t="str">
        <f t="shared" ref="BJ9:BO9" si="41">"LL" &amp; (1 + (COLUMNS($A8:P8) - 1) * 2)</f>
        <v>LL31</v>
      </c>
      <c r="BK9" s="1" t="str">
        <f t="shared" si="41"/>
        <v>LL33</v>
      </c>
      <c r="BL9" s="1" t="str">
        <f t="shared" si="41"/>
        <v>LL35</v>
      </c>
      <c r="BM9" s="1" t="str">
        <f t="shared" si="41"/>
        <v>LL37</v>
      </c>
      <c r="BN9" s="1" t="str">
        <f t="shared" si="41"/>
        <v>LL39</v>
      </c>
      <c r="BO9" s="1" t="str">
        <f t="shared" si="41"/>
        <v>LL41</v>
      </c>
    </row>
    <row r="10" spans="1:68" x14ac:dyDescent="0.25">
      <c r="B10" s="1" t="str">
        <f t="shared" ref="B10:G10" si="42">"KK" &amp; (42 - (COLUMN() - COLUMN($A$2)) * 2)</f>
        <v>KK40</v>
      </c>
      <c r="C10" s="1" t="str">
        <f t="shared" si="42"/>
        <v>KK38</v>
      </c>
      <c r="D10" s="1" t="str">
        <f t="shared" si="42"/>
        <v>KK36</v>
      </c>
      <c r="E10" s="1" t="str">
        <f t="shared" si="42"/>
        <v>KK34</v>
      </c>
      <c r="F10" s="1" t="str">
        <f t="shared" si="42"/>
        <v>KK32</v>
      </c>
      <c r="G10" s="1" t="str">
        <f t="shared" si="42"/>
        <v>KK30</v>
      </c>
      <c r="H10" s="2" t="s">
        <v>0</v>
      </c>
      <c r="I10" s="1" t="str">
        <f t="shared" ref="I10:V10" si="43">"KK" &amp; (44 - (COLUMN() - COLUMN($A$2)) * 2)</f>
        <v>KK28</v>
      </c>
      <c r="J10" s="1" t="str">
        <f t="shared" si="43"/>
        <v>KK26</v>
      </c>
      <c r="K10" s="1" t="str">
        <f t="shared" si="43"/>
        <v>KK24</v>
      </c>
      <c r="L10" s="1" t="str">
        <f t="shared" si="43"/>
        <v>KK22</v>
      </c>
      <c r="M10" s="1" t="str">
        <f t="shared" si="43"/>
        <v>KK20</v>
      </c>
      <c r="N10" s="1" t="str">
        <f t="shared" si="43"/>
        <v>KK18</v>
      </c>
      <c r="O10" s="1" t="str">
        <f t="shared" si="43"/>
        <v>KK16</v>
      </c>
      <c r="P10" s="1" t="str">
        <f t="shared" si="43"/>
        <v>KK14</v>
      </c>
      <c r="Q10" s="1" t="str">
        <f t="shared" si="43"/>
        <v>KK12</v>
      </c>
      <c r="R10" s="1" t="str">
        <f t="shared" si="43"/>
        <v>KK10</v>
      </c>
      <c r="S10" s="1" t="str">
        <f t="shared" si="43"/>
        <v>KK8</v>
      </c>
      <c r="T10" s="1" t="str">
        <f t="shared" si="43"/>
        <v>KK6</v>
      </c>
      <c r="U10" s="1" t="str">
        <f t="shared" si="43"/>
        <v>KK4</v>
      </c>
      <c r="V10" s="1" t="str">
        <f t="shared" si="43"/>
        <v>KK2</v>
      </c>
      <c r="W10" s="2" t="s">
        <v>0</v>
      </c>
      <c r="X10" s="2" t="s">
        <v>0</v>
      </c>
      <c r="Y10" s="2" t="s">
        <v>0</v>
      </c>
      <c r="Z10" s="2" t="s">
        <v>0</v>
      </c>
      <c r="AA10" s="1" t="str">
        <f t="shared" ref="AA10:AO10" si="44">"KK" &amp; (99 + COLUMNS($A4:A4))</f>
        <v>KK100</v>
      </c>
      <c r="AB10" s="1" t="str">
        <f t="shared" si="44"/>
        <v>KK101</v>
      </c>
      <c r="AC10" s="1" t="str">
        <f t="shared" si="44"/>
        <v>KK102</v>
      </c>
      <c r="AD10" s="1" t="str">
        <f t="shared" si="44"/>
        <v>KK103</v>
      </c>
      <c r="AE10" s="1" t="str">
        <f t="shared" si="44"/>
        <v>KK104</v>
      </c>
      <c r="AF10" s="1" t="str">
        <f t="shared" si="44"/>
        <v>KK105</v>
      </c>
      <c r="AG10" s="1" t="str">
        <f t="shared" si="44"/>
        <v>KK106</v>
      </c>
      <c r="AH10" s="1" t="str">
        <f t="shared" si="44"/>
        <v>KK107</v>
      </c>
      <c r="AI10" s="1" t="str">
        <f t="shared" si="44"/>
        <v>KK108</v>
      </c>
      <c r="AJ10" s="1" t="str">
        <f t="shared" si="44"/>
        <v>KK109</v>
      </c>
      <c r="AK10" s="1" t="str">
        <f t="shared" si="44"/>
        <v>KK110</v>
      </c>
      <c r="AL10" s="1" t="str">
        <f t="shared" si="44"/>
        <v>KK111</v>
      </c>
      <c r="AM10" s="1" t="str">
        <f t="shared" si="44"/>
        <v>KK112</v>
      </c>
      <c r="AN10" s="1" t="str">
        <f t="shared" si="44"/>
        <v>KK113</v>
      </c>
      <c r="AO10" s="1" t="str">
        <f t="shared" si="44"/>
        <v>KK114</v>
      </c>
      <c r="AQ10" s="2" t="s">
        <v>0</v>
      </c>
      <c r="AR10" s="2" t="s">
        <v>0</v>
      </c>
      <c r="AS10" s="2" t="s">
        <v>0</v>
      </c>
      <c r="AT10" s="1" t="str">
        <f t="shared" ref="AT10:BH10" si="45">"KK" &amp; (1 + (COLUMNS($A9:A9) - 1) * 2)</f>
        <v>KK1</v>
      </c>
      <c r="AU10" s="1" t="str">
        <f t="shared" si="45"/>
        <v>KK3</v>
      </c>
      <c r="AV10" s="1" t="str">
        <f t="shared" si="45"/>
        <v>KK5</v>
      </c>
      <c r="AW10" s="1" t="str">
        <f t="shared" si="45"/>
        <v>KK7</v>
      </c>
      <c r="AX10" s="1" t="str">
        <f t="shared" si="45"/>
        <v>KK9</v>
      </c>
      <c r="AY10" s="1" t="str">
        <f t="shared" si="45"/>
        <v>KK11</v>
      </c>
      <c r="AZ10" s="1" t="str">
        <f t="shared" si="45"/>
        <v>KK13</v>
      </c>
      <c r="BA10" s="1" t="str">
        <f t="shared" si="45"/>
        <v>KK15</v>
      </c>
      <c r="BB10" s="1" t="str">
        <f t="shared" si="45"/>
        <v>KK17</v>
      </c>
      <c r="BC10" s="1" t="str">
        <f t="shared" si="45"/>
        <v>KK19</v>
      </c>
      <c r="BD10" s="1" t="str">
        <f t="shared" si="45"/>
        <v>KK21</v>
      </c>
      <c r="BE10" s="1" t="str">
        <f t="shared" si="45"/>
        <v>KK23</v>
      </c>
      <c r="BF10" s="1" t="str">
        <f t="shared" si="45"/>
        <v>KK25</v>
      </c>
      <c r="BG10" s="1" t="str">
        <f t="shared" si="45"/>
        <v>KK27</v>
      </c>
      <c r="BH10" s="1" t="str">
        <f t="shared" si="45"/>
        <v>KK29</v>
      </c>
      <c r="BJ10" s="1" t="str">
        <f t="shared" ref="BJ10:BO10" si="46">"KK" &amp; (1 + (COLUMNS($A9:P9) - 1) * 2)</f>
        <v>KK31</v>
      </c>
      <c r="BK10" s="1" t="str">
        <f t="shared" si="46"/>
        <v>KK33</v>
      </c>
      <c r="BL10" s="1" t="str">
        <f t="shared" si="46"/>
        <v>KK35</v>
      </c>
      <c r="BM10" s="1" t="str">
        <f t="shared" si="46"/>
        <v>KK37</v>
      </c>
      <c r="BN10" s="1" t="str">
        <f t="shared" si="46"/>
        <v>KK39</v>
      </c>
      <c r="BO10" s="1" t="str">
        <f t="shared" si="46"/>
        <v>KK41</v>
      </c>
    </row>
    <row r="11" spans="1:68" x14ac:dyDescent="0.25">
      <c r="A11" s="1" t="str">
        <f t="shared" ref="A11:G11" si="47">"JJ" &amp; (42 - (COLUMN() - COLUMN($A$2)) * 2)</f>
        <v>JJ42</v>
      </c>
      <c r="B11" s="1" t="str">
        <f t="shared" si="47"/>
        <v>JJ40</v>
      </c>
      <c r="C11" s="1" t="str">
        <f t="shared" si="47"/>
        <v>JJ38</v>
      </c>
      <c r="D11" s="1" t="str">
        <f t="shared" si="47"/>
        <v>JJ36</v>
      </c>
      <c r="E11" s="1" t="str">
        <f t="shared" si="47"/>
        <v>JJ34</v>
      </c>
      <c r="F11" s="1" t="str">
        <f t="shared" si="47"/>
        <v>JJ32</v>
      </c>
      <c r="G11" s="1" t="str">
        <f t="shared" si="47"/>
        <v>JJ30</v>
      </c>
      <c r="H11" s="2" t="s">
        <v>0</v>
      </c>
      <c r="I11" s="1" t="str">
        <f t="shared" ref="I11:V11" si="48">"JJ" &amp; (44 - (COLUMN() - COLUMN($A$2)) * 2)</f>
        <v>JJ28</v>
      </c>
      <c r="J11" s="1" t="str">
        <f t="shared" si="48"/>
        <v>JJ26</v>
      </c>
      <c r="K11" s="1" t="str">
        <f t="shared" si="48"/>
        <v>JJ24</v>
      </c>
      <c r="L11" s="1" t="str">
        <f t="shared" si="48"/>
        <v>JJ22</v>
      </c>
      <c r="M11" s="1" t="str">
        <f t="shared" si="48"/>
        <v>JJ20</v>
      </c>
      <c r="N11" s="1" t="str">
        <f t="shared" si="48"/>
        <v>JJ18</v>
      </c>
      <c r="O11" s="1" t="str">
        <f t="shared" si="48"/>
        <v>JJ16</v>
      </c>
      <c r="P11" s="1" t="str">
        <f t="shared" si="48"/>
        <v>JJ14</v>
      </c>
      <c r="Q11" s="1" t="str">
        <f t="shared" si="48"/>
        <v>JJ12</v>
      </c>
      <c r="R11" s="1" t="str">
        <f t="shared" si="48"/>
        <v>JJ10</v>
      </c>
      <c r="S11" s="1" t="str">
        <f t="shared" si="48"/>
        <v>JJ8</v>
      </c>
      <c r="T11" s="1" t="str">
        <f t="shared" si="48"/>
        <v>JJ6</v>
      </c>
      <c r="U11" s="1" t="str">
        <f t="shared" si="48"/>
        <v>JJ4</v>
      </c>
      <c r="V11" s="1" t="str">
        <f t="shared" si="48"/>
        <v>JJ2</v>
      </c>
      <c r="W11" s="2" t="s">
        <v>0</v>
      </c>
      <c r="X11" s="2" t="s">
        <v>0</v>
      </c>
      <c r="Y11" s="2" t="s">
        <v>0</v>
      </c>
      <c r="Z11" s="2" t="s">
        <v>0</v>
      </c>
      <c r="AA11" s="1" t="str">
        <f t="shared" ref="AA11:AP11" si="49">"JJ" &amp; (99 + COLUMNS($A5:A5))</f>
        <v>JJ100</v>
      </c>
      <c r="AB11" s="1" t="str">
        <f t="shared" si="49"/>
        <v>JJ101</v>
      </c>
      <c r="AC11" s="1" t="str">
        <f t="shared" si="49"/>
        <v>JJ102</v>
      </c>
      <c r="AD11" s="1" t="str">
        <f t="shared" si="49"/>
        <v>JJ103</v>
      </c>
      <c r="AE11" s="1" t="str">
        <f t="shared" si="49"/>
        <v>JJ104</v>
      </c>
      <c r="AF11" s="1" t="str">
        <f t="shared" si="49"/>
        <v>JJ105</v>
      </c>
      <c r="AG11" s="1" t="str">
        <f t="shared" si="49"/>
        <v>JJ106</v>
      </c>
      <c r="AH11" s="1" t="str">
        <f t="shared" si="49"/>
        <v>JJ107</v>
      </c>
      <c r="AI11" s="1" t="str">
        <f t="shared" si="49"/>
        <v>JJ108</v>
      </c>
      <c r="AJ11" s="1" t="str">
        <f t="shared" si="49"/>
        <v>JJ109</v>
      </c>
      <c r="AK11" s="1" t="str">
        <f t="shared" si="49"/>
        <v>JJ110</v>
      </c>
      <c r="AL11" s="1" t="str">
        <f t="shared" si="49"/>
        <v>JJ111</v>
      </c>
      <c r="AM11" s="1" t="str">
        <f t="shared" si="49"/>
        <v>JJ112</v>
      </c>
      <c r="AN11" s="1" t="str">
        <f t="shared" si="49"/>
        <v>JJ113</v>
      </c>
      <c r="AO11" s="1" t="str">
        <f t="shared" si="49"/>
        <v>JJ114</v>
      </c>
      <c r="AP11" s="1" t="str">
        <f t="shared" si="49"/>
        <v>JJ115</v>
      </c>
      <c r="AQ11" s="2" t="s">
        <v>0</v>
      </c>
      <c r="AR11" s="2" t="s">
        <v>0</v>
      </c>
      <c r="AS11" s="2" t="s">
        <v>0</v>
      </c>
      <c r="AT11" s="1" t="str">
        <f t="shared" ref="AT11:BH11" si="50">"JJ" &amp; (1 + (COLUMNS($A10:A10) - 1) * 2)</f>
        <v>JJ1</v>
      </c>
      <c r="AU11" s="1" t="str">
        <f t="shared" si="50"/>
        <v>JJ3</v>
      </c>
      <c r="AV11" s="1" t="str">
        <f t="shared" si="50"/>
        <v>JJ5</v>
      </c>
      <c r="AW11" s="1" t="str">
        <f t="shared" si="50"/>
        <v>JJ7</v>
      </c>
      <c r="AX11" s="1" t="str">
        <f t="shared" si="50"/>
        <v>JJ9</v>
      </c>
      <c r="AY11" s="1" t="str">
        <f t="shared" si="50"/>
        <v>JJ11</v>
      </c>
      <c r="AZ11" s="1" t="str">
        <f t="shared" si="50"/>
        <v>JJ13</v>
      </c>
      <c r="BA11" s="1" t="str">
        <f t="shared" si="50"/>
        <v>JJ15</v>
      </c>
      <c r="BB11" s="1" t="str">
        <f t="shared" si="50"/>
        <v>JJ17</v>
      </c>
      <c r="BC11" s="1" t="str">
        <f t="shared" si="50"/>
        <v>JJ19</v>
      </c>
      <c r="BD11" s="1" t="str">
        <f t="shared" si="50"/>
        <v>JJ21</v>
      </c>
      <c r="BE11" s="1" t="str">
        <f t="shared" si="50"/>
        <v>JJ23</v>
      </c>
      <c r="BF11" s="1" t="str">
        <f t="shared" si="50"/>
        <v>JJ25</v>
      </c>
      <c r="BG11" s="1" t="str">
        <f t="shared" si="50"/>
        <v>JJ27</v>
      </c>
      <c r="BH11" s="1" t="str">
        <f t="shared" si="50"/>
        <v>JJ29</v>
      </c>
      <c r="BJ11" s="1" t="str">
        <f t="shared" ref="BJ11:BO11" si="51">"JJ" &amp; (1 + (COLUMNS($A10:P10) - 1) * 2)</f>
        <v>JJ31</v>
      </c>
      <c r="BK11" s="1" t="str">
        <f t="shared" si="51"/>
        <v>JJ33</v>
      </c>
      <c r="BL11" s="1" t="str">
        <f t="shared" si="51"/>
        <v>JJ35</v>
      </c>
      <c r="BM11" s="1" t="str">
        <f t="shared" si="51"/>
        <v>JJ37</v>
      </c>
      <c r="BN11" s="1" t="str">
        <f t="shared" si="51"/>
        <v>JJ39</v>
      </c>
      <c r="BO11" s="1" t="str">
        <f t="shared" si="51"/>
        <v>JJ41</v>
      </c>
    </row>
    <row r="12" spans="1:68" x14ac:dyDescent="0.25">
      <c r="A12" s="1" t="str">
        <f t="shared" ref="A12:G12" si="52">"II" &amp; (42 - (COLUMN() - COLUMN($A$2)) * 2)</f>
        <v>II42</v>
      </c>
      <c r="B12" s="1" t="str">
        <f t="shared" si="52"/>
        <v>II40</v>
      </c>
      <c r="C12" s="1" t="str">
        <f t="shared" si="52"/>
        <v>II38</v>
      </c>
      <c r="D12" s="1" t="str">
        <f t="shared" si="52"/>
        <v>II36</v>
      </c>
      <c r="E12" s="1" t="str">
        <f t="shared" si="52"/>
        <v>II34</v>
      </c>
      <c r="F12" s="1" t="str">
        <f t="shared" si="52"/>
        <v>II32</v>
      </c>
      <c r="G12" s="1" t="str">
        <f t="shared" si="52"/>
        <v>II30</v>
      </c>
      <c r="H12" s="2" t="s">
        <v>0</v>
      </c>
      <c r="I12" s="1" t="str">
        <f t="shared" ref="I12:V12" si="53">"II" &amp; (44 - (COLUMN() - COLUMN($A$2)) * 2)</f>
        <v>II28</v>
      </c>
      <c r="J12" s="1" t="str">
        <f t="shared" si="53"/>
        <v>II26</v>
      </c>
      <c r="K12" s="1" t="str">
        <f t="shared" si="53"/>
        <v>II24</v>
      </c>
      <c r="L12" s="1" t="str">
        <f t="shared" si="53"/>
        <v>II22</v>
      </c>
      <c r="M12" s="1" t="str">
        <f t="shared" si="53"/>
        <v>II20</v>
      </c>
      <c r="N12" s="1" t="str">
        <f t="shared" si="53"/>
        <v>II18</v>
      </c>
      <c r="O12" s="1" t="str">
        <f t="shared" si="53"/>
        <v>II16</v>
      </c>
      <c r="P12" s="1" t="str">
        <f t="shared" si="53"/>
        <v>II14</v>
      </c>
      <c r="Q12" s="1" t="str">
        <f t="shared" si="53"/>
        <v>II12</v>
      </c>
      <c r="R12" s="1" t="str">
        <f t="shared" si="53"/>
        <v>II10</v>
      </c>
      <c r="S12" s="1" t="str">
        <f t="shared" si="53"/>
        <v>II8</v>
      </c>
      <c r="T12" s="1" t="str">
        <f t="shared" si="53"/>
        <v>II6</v>
      </c>
      <c r="U12" s="1" t="str">
        <f t="shared" si="53"/>
        <v>II4</v>
      </c>
      <c r="V12" s="1" t="str">
        <f t="shared" si="53"/>
        <v>II2</v>
      </c>
      <c r="W12" s="2" t="s">
        <v>0</v>
      </c>
      <c r="X12" s="2" t="s">
        <v>0</v>
      </c>
      <c r="Y12" s="2" t="s">
        <v>0</v>
      </c>
      <c r="Z12" s="2" t="s">
        <v>0</v>
      </c>
      <c r="AA12" s="1" t="str">
        <f t="shared" ref="AA12:AO12" si="54">"II" &amp; (99 + COLUMNS($A6:A6))</f>
        <v>II100</v>
      </c>
      <c r="AB12" s="1" t="str">
        <f t="shared" si="54"/>
        <v>II101</v>
      </c>
      <c r="AC12" s="1" t="str">
        <f t="shared" si="54"/>
        <v>II102</v>
      </c>
      <c r="AD12" s="1" t="str">
        <f t="shared" si="54"/>
        <v>II103</v>
      </c>
      <c r="AE12" s="1" t="str">
        <f t="shared" si="54"/>
        <v>II104</v>
      </c>
      <c r="AF12" s="1" t="str">
        <f t="shared" si="54"/>
        <v>II105</v>
      </c>
      <c r="AG12" s="1" t="str">
        <f t="shared" si="54"/>
        <v>II106</v>
      </c>
      <c r="AH12" s="1" t="str">
        <f t="shared" si="54"/>
        <v>II107</v>
      </c>
      <c r="AI12" s="1" t="str">
        <f t="shared" si="54"/>
        <v>II108</v>
      </c>
      <c r="AJ12" s="1" t="str">
        <f t="shared" si="54"/>
        <v>II109</v>
      </c>
      <c r="AK12" s="1" t="str">
        <f t="shared" si="54"/>
        <v>II110</v>
      </c>
      <c r="AL12" s="1" t="str">
        <f t="shared" si="54"/>
        <v>II111</v>
      </c>
      <c r="AM12" s="1" t="str">
        <f t="shared" si="54"/>
        <v>II112</v>
      </c>
      <c r="AN12" s="1" t="str">
        <f t="shared" si="54"/>
        <v>II113</v>
      </c>
      <c r="AO12" s="1" t="str">
        <f t="shared" si="54"/>
        <v>II114</v>
      </c>
      <c r="AQ12" s="2" t="s">
        <v>0</v>
      </c>
      <c r="AR12" s="2" t="s">
        <v>0</v>
      </c>
      <c r="AS12" s="2" t="s">
        <v>0</v>
      </c>
      <c r="AT12" s="1" t="str">
        <f t="shared" ref="AT12:BH12" si="55">"II" &amp; (1 + (COLUMNS($A11:A11) - 1) * 2)</f>
        <v>II1</v>
      </c>
      <c r="AU12" s="1" t="str">
        <f t="shared" si="55"/>
        <v>II3</v>
      </c>
      <c r="AV12" s="1" t="str">
        <f t="shared" si="55"/>
        <v>II5</v>
      </c>
      <c r="AW12" s="1" t="str">
        <f t="shared" si="55"/>
        <v>II7</v>
      </c>
      <c r="AX12" s="1" t="str">
        <f t="shared" si="55"/>
        <v>II9</v>
      </c>
      <c r="AY12" s="1" t="str">
        <f t="shared" si="55"/>
        <v>II11</v>
      </c>
      <c r="AZ12" s="1" t="str">
        <f t="shared" si="55"/>
        <v>II13</v>
      </c>
      <c r="BA12" s="1" t="str">
        <f t="shared" si="55"/>
        <v>II15</v>
      </c>
      <c r="BB12" s="1" t="str">
        <f t="shared" si="55"/>
        <v>II17</v>
      </c>
      <c r="BC12" s="1" t="str">
        <f t="shared" si="55"/>
        <v>II19</v>
      </c>
      <c r="BD12" s="1" t="str">
        <f t="shared" si="55"/>
        <v>II21</v>
      </c>
      <c r="BE12" s="1" t="str">
        <f t="shared" si="55"/>
        <v>II23</v>
      </c>
      <c r="BF12" s="1" t="str">
        <f t="shared" si="55"/>
        <v>II25</v>
      </c>
      <c r="BG12" s="1" t="str">
        <f t="shared" si="55"/>
        <v>II27</v>
      </c>
      <c r="BH12" s="1" t="str">
        <f t="shared" si="55"/>
        <v>II29</v>
      </c>
      <c r="BJ12" s="1" t="str">
        <f t="shared" ref="BJ12:BO12" si="56">"II" &amp; (1 + (COLUMNS($A11:P11) - 1) * 2)</f>
        <v>II31</v>
      </c>
      <c r="BK12" s="1" t="str">
        <f t="shared" si="56"/>
        <v>II33</v>
      </c>
      <c r="BL12" s="1" t="str">
        <f t="shared" si="56"/>
        <v>II35</v>
      </c>
      <c r="BM12" s="1" t="str">
        <f t="shared" si="56"/>
        <v>II37</v>
      </c>
      <c r="BN12" s="1" t="str">
        <f t="shared" si="56"/>
        <v>II39</v>
      </c>
      <c r="BO12" s="1" t="str">
        <f t="shared" si="56"/>
        <v>II41</v>
      </c>
    </row>
    <row r="13" spans="1:68" x14ac:dyDescent="0.25">
      <c r="A13" s="1" t="str">
        <f t="shared" ref="A13:G13" si="57">"HH" &amp; (42 - (COLUMN() - COLUMN($A$2)) * 2)</f>
        <v>HH42</v>
      </c>
      <c r="B13" s="1" t="str">
        <f t="shared" si="57"/>
        <v>HH40</v>
      </c>
      <c r="C13" s="1" t="str">
        <f t="shared" si="57"/>
        <v>HH38</v>
      </c>
      <c r="D13" s="1" t="str">
        <f t="shared" si="57"/>
        <v>HH36</v>
      </c>
      <c r="E13" s="1" t="str">
        <f t="shared" si="57"/>
        <v>HH34</v>
      </c>
      <c r="F13" s="1" t="str">
        <f t="shared" si="57"/>
        <v>HH32</v>
      </c>
      <c r="G13" s="1" t="str">
        <f t="shared" si="57"/>
        <v>HH30</v>
      </c>
      <c r="H13" s="2" t="s">
        <v>0</v>
      </c>
      <c r="I13" s="1" t="str">
        <f t="shared" ref="I13:V13" si="58">"HH" &amp; (44 - (COLUMN() - COLUMN($A$2)) * 2)</f>
        <v>HH28</v>
      </c>
      <c r="J13" s="1" t="str">
        <f t="shared" si="58"/>
        <v>HH26</v>
      </c>
      <c r="K13" s="1" t="str">
        <f t="shared" si="58"/>
        <v>HH24</v>
      </c>
      <c r="L13" s="1" t="str">
        <f t="shared" si="58"/>
        <v>HH22</v>
      </c>
      <c r="M13" s="1" t="str">
        <f t="shared" si="58"/>
        <v>HH20</v>
      </c>
      <c r="N13" s="1" t="str">
        <f t="shared" si="58"/>
        <v>HH18</v>
      </c>
      <c r="O13" s="1" t="str">
        <f t="shared" si="58"/>
        <v>HH16</v>
      </c>
      <c r="P13" s="1" t="str">
        <f t="shared" si="58"/>
        <v>HH14</v>
      </c>
      <c r="Q13" s="1" t="str">
        <f t="shared" si="58"/>
        <v>HH12</v>
      </c>
      <c r="R13" s="1" t="str">
        <f t="shared" si="58"/>
        <v>HH10</v>
      </c>
      <c r="S13" s="1" t="str">
        <f t="shared" si="58"/>
        <v>HH8</v>
      </c>
      <c r="T13" s="1" t="str">
        <f t="shared" si="58"/>
        <v>HH6</v>
      </c>
      <c r="U13" s="1" t="str">
        <f t="shared" si="58"/>
        <v>HH4</v>
      </c>
      <c r="V13" s="1" t="str">
        <f t="shared" si="58"/>
        <v>HH2</v>
      </c>
      <c r="W13" s="2" t="s">
        <v>0</v>
      </c>
      <c r="X13" s="2" t="s">
        <v>0</v>
      </c>
      <c r="Y13" s="2" t="s">
        <v>0</v>
      </c>
      <c r="Z13" s="2" t="s">
        <v>0</v>
      </c>
      <c r="AA13" s="1" t="str">
        <f t="shared" ref="AA13:AP13" si="59">"HH" &amp; (99 + COLUMNS($A7:A7))</f>
        <v>HH100</v>
      </c>
      <c r="AB13" s="1" t="str">
        <f t="shared" si="59"/>
        <v>HH101</v>
      </c>
      <c r="AC13" s="1" t="str">
        <f t="shared" si="59"/>
        <v>HH102</v>
      </c>
      <c r="AD13" s="1" t="str">
        <f t="shared" si="59"/>
        <v>HH103</v>
      </c>
      <c r="AE13" s="1" t="str">
        <f t="shared" si="59"/>
        <v>HH104</v>
      </c>
      <c r="AF13" s="1" t="str">
        <f t="shared" si="59"/>
        <v>HH105</v>
      </c>
      <c r="AG13" s="1" t="str">
        <f t="shared" si="59"/>
        <v>HH106</v>
      </c>
      <c r="AH13" s="1" t="str">
        <f t="shared" si="59"/>
        <v>HH107</v>
      </c>
      <c r="AI13" s="1" t="str">
        <f t="shared" si="59"/>
        <v>HH108</v>
      </c>
      <c r="AJ13" s="1" t="str">
        <f t="shared" si="59"/>
        <v>HH109</v>
      </c>
      <c r="AK13" s="1" t="str">
        <f t="shared" si="59"/>
        <v>HH110</v>
      </c>
      <c r="AL13" s="1" t="str">
        <f t="shared" si="59"/>
        <v>HH111</v>
      </c>
      <c r="AM13" s="1" t="str">
        <f t="shared" si="59"/>
        <v>HH112</v>
      </c>
      <c r="AN13" s="1" t="str">
        <f t="shared" si="59"/>
        <v>HH113</v>
      </c>
      <c r="AO13" s="1" t="str">
        <f t="shared" si="59"/>
        <v>HH114</v>
      </c>
      <c r="AP13" s="1" t="str">
        <f t="shared" si="59"/>
        <v>HH115</v>
      </c>
      <c r="AQ13" s="2" t="s">
        <v>0</v>
      </c>
      <c r="AR13" s="2" t="s">
        <v>0</v>
      </c>
      <c r="AS13" s="2" t="s">
        <v>0</v>
      </c>
      <c r="AT13" s="1" t="str">
        <f t="shared" ref="AT13:BH13" si="60">"HH" &amp; (1 + (COLUMNS($A12:A12) - 1) * 2)</f>
        <v>HH1</v>
      </c>
      <c r="AU13" s="1" t="str">
        <f t="shared" si="60"/>
        <v>HH3</v>
      </c>
      <c r="AV13" s="1" t="str">
        <f t="shared" si="60"/>
        <v>HH5</v>
      </c>
      <c r="AW13" s="1" t="str">
        <f t="shared" si="60"/>
        <v>HH7</v>
      </c>
      <c r="AX13" s="1" t="str">
        <f t="shared" si="60"/>
        <v>HH9</v>
      </c>
      <c r="AY13" s="1" t="str">
        <f t="shared" si="60"/>
        <v>HH11</v>
      </c>
      <c r="AZ13" s="1" t="str">
        <f t="shared" si="60"/>
        <v>HH13</v>
      </c>
      <c r="BA13" s="1" t="str">
        <f t="shared" si="60"/>
        <v>HH15</v>
      </c>
      <c r="BB13" s="1" t="str">
        <f t="shared" si="60"/>
        <v>HH17</v>
      </c>
      <c r="BC13" s="1" t="str">
        <f t="shared" si="60"/>
        <v>HH19</v>
      </c>
      <c r="BD13" s="1" t="str">
        <f t="shared" si="60"/>
        <v>HH21</v>
      </c>
      <c r="BE13" s="1" t="str">
        <f t="shared" si="60"/>
        <v>HH23</v>
      </c>
      <c r="BF13" s="1" t="str">
        <f t="shared" si="60"/>
        <v>HH25</v>
      </c>
      <c r="BG13" s="1" t="str">
        <f t="shared" si="60"/>
        <v>HH27</v>
      </c>
      <c r="BH13" s="1" t="str">
        <f t="shared" si="60"/>
        <v>HH29</v>
      </c>
      <c r="BJ13" s="1" t="str">
        <f t="shared" ref="BJ13:BO13" si="61">"HH" &amp; (1 + (COLUMNS($A12:P12) - 1) * 2)</f>
        <v>HH31</v>
      </c>
      <c r="BK13" s="1" t="str">
        <f t="shared" si="61"/>
        <v>HH33</v>
      </c>
      <c r="BL13" s="1" t="str">
        <f t="shared" si="61"/>
        <v>HH35</v>
      </c>
      <c r="BM13" s="1" t="str">
        <f t="shared" si="61"/>
        <v>HH37</v>
      </c>
      <c r="BN13" s="1" t="str">
        <f t="shared" si="61"/>
        <v>HH39</v>
      </c>
      <c r="BO13" s="1" t="str">
        <f t="shared" si="61"/>
        <v>HH41</v>
      </c>
    </row>
    <row r="14" spans="1:68" x14ac:dyDescent="0.25">
      <c r="A14" s="1" t="str">
        <f t="shared" ref="A14:G14" si="62">"GG" &amp; (42 - (COLUMN() - COLUMN($A$2)) * 2)</f>
        <v>GG42</v>
      </c>
      <c r="B14" s="1" t="str">
        <f t="shared" si="62"/>
        <v>GG40</v>
      </c>
      <c r="C14" s="1" t="str">
        <f t="shared" si="62"/>
        <v>GG38</v>
      </c>
      <c r="D14" s="1" t="str">
        <f t="shared" si="62"/>
        <v>GG36</v>
      </c>
      <c r="E14" s="1" t="str">
        <f t="shared" si="62"/>
        <v>GG34</v>
      </c>
      <c r="F14" s="1" t="str">
        <f t="shared" si="62"/>
        <v>GG32</v>
      </c>
      <c r="G14" s="1" t="str">
        <f t="shared" si="62"/>
        <v>GG30</v>
      </c>
      <c r="H14" s="2" t="s">
        <v>0</v>
      </c>
      <c r="I14" s="1" t="str">
        <f t="shared" ref="I14:V14" si="63">"GG" &amp; (44 - (COLUMN() - COLUMN($A$2)) * 2)</f>
        <v>GG28</v>
      </c>
      <c r="J14" s="1" t="str">
        <f t="shared" si="63"/>
        <v>GG26</v>
      </c>
      <c r="K14" s="1" t="str">
        <f t="shared" si="63"/>
        <v>GG24</v>
      </c>
      <c r="L14" s="1" t="str">
        <f t="shared" si="63"/>
        <v>GG22</v>
      </c>
      <c r="M14" s="1" t="str">
        <f t="shared" si="63"/>
        <v>GG20</v>
      </c>
      <c r="N14" s="1" t="str">
        <f t="shared" si="63"/>
        <v>GG18</v>
      </c>
      <c r="O14" s="1" t="str">
        <f t="shared" si="63"/>
        <v>GG16</v>
      </c>
      <c r="P14" s="1" t="str">
        <f t="shared" si="63"/>
        <v>GG14</v>
      </c>
      <c r="Q14" s="1" t="str">
        <f t="shared" si="63"/>
        <v>GG12</v>
      </c>
      <c r="R14" s="1" t="str">
        <f t="shared" si="63"/>
        <v>GG10</v>
      </c>
      <c r="S14" s="1" t="str">
        <f t="shared" si="63"/>
        <v>GG8</v>
      </c>
      <c r="T14" s="1" t="str">
        <f t="shared" si="63"/>
        <v>GG6</v>
      </c>
      <c r="U14" s="1" t="str">
        <f t="shared" si="63"/>
        <v>GG4</v>
      </c>
      <c r="V14" s="1" t="str">
        <f t="shared" si="63"/>
        <v>GG2</v>
      </c>
      <c r="W14" s="2" t="s">
        <v>0</v>
      </c>
      <c r="X14" s="2" t="s">
        <v>0</v>
      </c>
      <c r="Y14" s="2" t="s">
        <v>0</v>
      </c>
      <c r="Z14" s="2" t="s">
        <v>0</v>
      </c>
      <c r="AA14" s="1" t="str">
        <f t="shared" ref="AA14:AO14" si="64">"GG" &amp; (99 + COLUMNS($A8:A8))</f>
        <v>GG100</v>
      </c>
      <c r="AB14" s="1" t="str">
        <f t="shared" si="64"/>
        <v>GG101</v>
      </c>
      <c r="AC14" s="1" t="str">
        <f t="shared" si="64"/>
        <v>GG102</v>
      </c>
      <c r="AD14" s="1" t="str">
        <f t="shared" si="64"/>
        <v>GG103</v>
      </c>
      <c r="AE14" s="1" t="str">
        <f t="shared" si="64"/>
        <v>GG104</v>
      </c>
      <c r="AF14" s="1" t="str">
        <f t="shared" si="64"/>
        <v>GG105</v>
      </c>
      <c r="AG14" s="1" t="str">
        <f t="shared" si="64"/>
        <v>GG106</v>
      </c>
      <c r="AH14" s="1" t="str">
        <f t="shared" si="64"/>
        <v>GG107</v>
      </c>
      <c r="AI14" s="1" t="str">
        <f t="shared" si="64"/>
        <v>GG108</v>
      </c>
      <c r="AJ14" s="1" t="str">
        <f t="shared" si="64"/>
        <v>GG109</v>
      </c>
      <c r="AK14" s="1" t="str">
        <f t="shared" si="64"/>
        <v>GG110</v>
      </c>
      <c r="AL14" s="1" t="str">
        <f t="shared" si="64"/>
        <v>GG111</v>
      </c>
      <c r="AM14" s="1" t="str">
        <f t="shared" si="64"/>
        <v>GG112</v>
      </c>
      <c r="AN14" s="1" t="str">
        <f t="shared" si="64"/>
        <v>GG113</v>
      </c>
      <c r="AO14" s="1" t="str">
        <f t="shared" si="64"/>
        <v>GG114</v>
      </c>
      <c r="AQ14" s="2" t="s">
        <v>0</v>
      </c>
      <c r="AR14" s="2" t="s">
        <v>0</v>
      </c>
      <c r="AS14" s="2" t="s">
        <v>0</v>
      </c>
      <c r="AT14" s="1" t="str">
        <f t="shared" ref="AT14:BH14" si="65">"GG" &amp; (1 + (COLUMNS($A13:A13) - 1) * 2)</f>
        <v>GG1</v>
      </c>
      <c r="AU14" s="1" t="str">
        <f t="shared" si="65"/>
        <v>GG3</v>
      </c>
      <c r="AV14" s="1" t="str">
        <f t="shared" si="65"/>
        <v>GG5</v>
      </c>
      <c r="AW14" s="1" t="str">
        <f t="shared" si="65"/>
        <v>GG7</v>
      </c>
      <c r="AX14" s="1" t="str">
        <f t="shared" si="65"/>
        <v>GG9</v>
      </c>
      <c r="AY14" s="1" t="str">
        <f t="shared" si="65"/>
        <v>GG11</v>
      </c>
      <c r="AZ14" s="1" t="str">
        <f t="shared" si="65"/>
        <v>GG13</v>
      </c>
      <c r="BA14" s="1" t="str">
        <f t="shared" si="65"/>
        <v>GG15</v>
      </c>
      <c r="BB14" s="1" t="str">
        <f t="shared" si="65"/>
        <v>GG17</v>
      </c>
      <c r="BC14" s="1" t="str">
        <f t="shared" si="65"/>
        <v>GG19</v>
      </c>
      <c r="BD14" s="1" t="str">
        <f t="shared" si="65"/>
        <v>GG21</v>
      </c>
      <c r="BE14" s="1" t="str">
        <f t="shared" si="65"/>
        <v>GG23</v>
      </c>
      <c r="BF14" s="1" t="str">
        <f t="shared" si="65"/>
        <v>GG25</v>
      </c>
      <c r="BG14" s="1" t="str">
        <f t="shared" si="65"/>
        <v>GG27</v>
      </c>
      <c r="BH14" s="1" t="str">
        <f t="shared" si="65"/>
        <v>GG29</v>
      </c>
      <c r="BJ14" s="1" t="str">
        <f t="shared" ref="BJ14:BP14" si="66">"GG" &amp; (1 + (COLUMNS($A13:P13) - 1) * 2)</f>
        <v>GG31</v>
      </c>
      <c r="BK14" s="1" t="str">
        <f t="shared" si="66"/>
        <v>GG33</v>
      </c>
      <c r="BL14" s="1" t="str">
        <f t="shared" si="66"/>
        <v>GG35</v>
      </c>
      <c r="BM14" s="1" t="str">
        <f t="shared" si="66"/>
        <v>GG37</v>
      </c>
      <c r="BN14" s="1" t="str">
        <f t="shared" si="66"/>
        <v>GG39</v>
      </c>
      <c r="BO14" s="1" t="str">
        <f t="shared" si="66"/>
        <v>GG41</v>
      </c>
      <c r="BP14" s="1" t="str">
        <f t="shared" si="66"/>
        <v>GG43</v>
      </c>
    </row>
    <row r="15" spans="1:68" x14ac:dyDescent="0.25">
      <c r="A15" s="1" t="str">
        <f t="shared" ref="A15:G15" si="67">"FF" &amp; (42 - (COLUMN() - COLUMN($A$2)) * 2)</f>
        <v>FF42</v>
      </c>
      <c r="B15" s="1" t="str">
        <f t="shared" si="67"/>
        <v>FF40</v>
      </c>
      <c r="C15" s="1" t="str">
        <f t="shared" si="67"/>
        <v>FF38</v>
      </c>
      <c r="D15" s="1" t="str">
        <f t="shared" si="67"/>
        <v>FF36</v>
      </c>
      <c r="E15" s="1" t="str">
        <f t="shared" si="67"/>
        <v>FF34</v>
      </c>
      <c r="F15" s="1" t="str">
        <f t="shared" si="67"/>
        <v>FF32</v>
      </c>
      <c r="G15" s="1" t="str">
        <f t="shared" si="67"/>
        <v>FF30</v>
      </c>
      <c r="H15" s="2" t="s">
        <v>0</v>
      </c>
      <c r="I15" s="1" t="str">
        <f t="shared" ref="I15:V15" si="68">"FF" &amp; (44 - (COLUMN() - COLUMN($A$2)) * 2)</f>
        <v>FF28</v>
      </c>
      <c r="J15" s="1" t="str">
        <f t="shared" si="68"/>
        <v>FF26</v>
      </c>
      <c r="K15" s="1" t="str">
        <f t="shared" si="68"/>
        <v>FF24</v>
      </c>
      <c r="L15" s="1" t="str">
        <f t="shared" si="68"/>
        <v>FF22</v>
      </c>
      <c r="M15" s="1" t="str">
        <f t="shared" si="68"/>
        <v>FF20</v>
      </c>
      <c r="N15" s="1" t="str">
        <f t="shared" si="68"/>
        <v>FF18</v>
      </c>
      <c r="O15" s="1" t="str">
        <f t="shared" si="68"/>
        <v>FF16</v>
      </c>
      <c r="P15" s="1" t="str">
        <f t="shared" si="68"/>
        <v>FF14</v>
      </c>
      <c r="Q15" s="1" t="str">
        <f t="shared" si="68"/>
        <v>FF12</v>
      </c>
      <c r="R15" s="1" t="str">
        <f t="shared" si="68"/>
        <v>FF10</v>
      </c>
      <c r="S15" s="1" t="str">
        <f t="shared" si="68"/>
        <v>FF8</v>
      </c>
      <c r="T15" s="1" t="str">
        <f t="shared" si="68"/>
        <v>FF6</v>
      </c>
      <c r="U15" s="1" t="str">
        <f t="shared" si="68"/>
        <v>FF4</v>
      </c>
      <c r="V15" s="1" t="str">
        <f t="shared" si="68"/>
        <v>FF2</v>
      </c>
      <c r="W15" s="2" t="s">
        <v>0</v>
      </c>
      <c r="X15" s="2" t="s">
        <v>0</v>
      </c>
      <c r="Y15" s="2" t="s">
        <v>0</v>
      </c>
      <c r="Z15" s="2" t="s">
        <v>0</v>
      </c>
      <c r="AA15" s="1" t="str">
        <f t="shared" ref="AA15:AP15" si="69">"FF" &amp; (99 + COLUMNS($A9:A9))</f>
        <v>FF100</v>
      </c>
      <c r="AB15" s="1" t="str">
        <f t="shared" si="69"/>
        <v>FF101</v>
      </c>
      <c r="AC15" s="1" t="str">
        <f t="shared" si="69"/>
        <v>FF102</v>
      </c>
      <c r="AD15" s="1" t="str">
        <f t="shared" si="69"/>
        <v>FF103</v>
      </c>
      <c r="AE15" s="1" t="str">
        <f t="shared" si="69"/>
        <v>FF104</v>
      </c>
      <c r="AF15" s="1" t="str">
        <f t="shared" si="69"/>
        <v>FF105</v>
      </c>
      <c r="AG15" s="1" t="str">
        <f t="shared" si="69"/>
        <v>FF106</v>
      </c>
      <c r="AH15" s="1" t="str">
        <f t="shared" si="69"/>
        <v>FF107</v>
      </c>
      <c r="AI15" s="1" t="str">
        <f t="shared" si="69"/>
        <v>FF108</v>
      </c>
      <c r="AJ15" s="1" t="str">
        <f t="shared" si="69"/>
        <v>FF109</v>
      </c>
      <c r="AK15" s="1" t="str">
        <f t="shared" si="69"/>
        <v>FF110</v>
      </c>
      <c r="AL15" s="1" t="str">
        <f t="shared" si="69"/>
        <v>FF111</v>
      </c>
      <c r="AM15" s="1" t="str">
        <f t="shared" si="69"/>
        <v>FF112</v>
      </c>
      <c r="AN15" s="1" t="str">
        <f t="shared" si="69"/>
        <v>FF113</v>
      </c>
      <c r="AO15" s="1" t="str">
        <f t="shared" si="69"/>
        <v>FF114</v>
      </c>
      <c r="AP15" s="1" t="str">
        <f t="shared" si="69"/>
        <v>FF115</v>
      </c>
      <c r="AQ15" s="2" t="s">
        <v>0</v>
      </c>
      <c r="AR15" s="2" t="s">
        <v>0</v>
      </c>
      <c r="AS15" s="2" t="s">
        <v>0</v>
      </c>
      <c r="AT15" s="1" t="str">
        <f t="shared" ref="AT15:BH15" si="70">"FF" &amp; (1 + (COLUMNS($A14:A14) - 1) * 2)</f>
        <v>FF1</v>
      </c>
      <c r="AU15" s="1" t="str">
        <f t="shared" si="70"/>
        <v>FF3</v>
      </c>
      <c r="AV15" s="1" t="str">
        <f t="shared" si="70"/>
        <v>FF5</v>
      </c>
      <c r="AW15" s="1" t="str">
        <f t="shared" si="70"/>
        <v>FF7</v>
      </c>
      <c r="AX15" s="1" t="str">
        <f t="shared" si="70"/>
        <v>FF9</v>
      </c>
      <c r="AY15" s="1" t="str">
        <f t="shared" si="70"/>
        <v>FF11</v>
      </c>
      <c r="AZ15" s="1" t="str">
        <f t="shared" si="70"/>
        <v>FF13</v>
      </c>
      <c r="BA15" s="1" t="str">
        <f t="shared" si="70"/>
        <v>FF15</v>
      </c>
      <c r="BB15" s="1" t="str">
        <f t="shared" si="70"/>
        <v>FF17</v>
      </c>
      <c r="BC15" s="1" t="str">
        <f t="shared" si="70"/>
        <v>FF19</v>
      </c>
      <c r="BD15" s="1" t="str">
        <f t="shared" si="70"/>
        <v>FF21</v>
      </c>
      <c r="BE15" s="1" t="str">
        <f t="shared" si="70"/>
        <v>FF23</v>
      </c>
      <c r="BF15" s="1" t="str">
        <f t="shared" si="70"/>
        <v>FF25</v>
      </c>
      <c r="BG15" s="1" t="str">
        <f t="shared" si="70"/>
        <v>FF27</v>
      </c>
      <c r="BH15" s="1" t="str">
        <f t="shared" si="70"/>
        <v>FF29</v>
      </c>
      <c r="BJ15" s="1" t="str">
        <f t="shared" ref="BJ15:BP15" si="71">"FF" &amp; (1 + (COLUMNS($A14:P14) - 1) * 2)</f>
        <v>FF31</v>
      </c>
      <c r="BK15" s="1" t="str">
        <f t="shared" si="71"/>
        <v>FF33</v>
      </c>
      <c r="BL15" s="1" t="str">
        <f t="shared" si="71"/>
        <v>FF35</v>
      </c>
      <c r="BM15" s="1" t="str">
        <f t="shared" si="71"/>
        <v>FF37</v>
      </c>
      <c r="BN15" s="1" t="str">
        <f t="shared" si="71"/>
        <v>FF39</v>
      </c>
      <c r="BO15" s="1" t="str">
        <f t="shared" si="71"/>
        <v>FF41</v>
      </c>
      <c r="BP15" s="1" t="str">
        <f t="shared" si="71"/>
        <v>FF43</v>
      </c>
    </row>
    <row r="16" spans="1:68" x14ac:dyDescent="0.25">
      <c r="B16" s="1" t="str">
        <f t="shared" ref="B16:G16" si="72">"EE" &amp; (42 - (COLUMN() - COLUMN($A$2)) * 2)</f>
        <v>EE40</v>
      </c>
      <c r="C16" s="1" t="str">
        <f t="shared" si="72"/>
        <v>EE38</v>
      </c>
      <c r="D16" s="1" t="str">
        <f t="shared" si="72"/>
        <v>EE36</v>
      </c>
      <c r="E16" s="1" t="str">
        <f t="shared" si="72"/>
        <v>EE34</v>
      </c>
      <c r="F16" s="1" t="str">
        <f t="shared" si="72"/>
        <v>EE32</v>
      </c>
      <c r="G16" s="1" t="str">
        <f t="shared" si="72"/>
        <v>EE30</v>
      </c>
      <c r="H16" s="2" t="s">
        <v>0</v>
      </c>
      <c r="I16" s="1" t="str">
        <f t="shared" ref="I16:V16" si="73">"EE" &amp; (44 - (COLUMN() - COLUMN($A$2)) * 2)</f>
        <v>EE28</v>
      </c>
      <c r="J16" s="1" t="str">
        <f t="shared" si="73"/>
        <v>EE26</v>
      </c>
      <c r="K16" s="1" t="str">
        <f t="shared" si="73"/>
        <v>EE24</v>
      </c>
      <c r="L16" s="1" t="str">
        <f t="shared" si="73"/>
        <v>EE22</v>
      </c>
      <c r="M16" s="1" t="str">
        <f t="shared" si="73"/>
        <v>EE20</v>
      </c>
      <c r="N16" s="1" t="str">
        <f t="shared" si="73"/>
        <v>EE18</v>
      </c>
      <c r="O16" s="1" t="str">
        <f t="shared" si="73"/>
        <v>EE16</v>
      </c>
      <c r="P16" s="1" t="str">
        <f t="shared" si="73"/>
        <v>EE14</v>
      </c>
      <c r="Q16" s="1" t="str">
        <f t="shared" si="73"/>
        <v>EE12</v>
      </c>
      <c r="R16" s="1" t="str">
        <f t="shared" si="73"/>
        <v>EE10</v>
      </c>
      <c r="S16" s="1" t="str">
        <f t="shared" si="73"/>
        <v>EE8</v>
      </c>
      <c r="T16" s="1" t="str">
        <f t="shared" si="73"/>
        <v>EE6</v>
      </c>
      <c r="U16" s="1" t="str">
        <f t="shared" si="73"/>
        <v>EE4</v>
      </c>
      <c r="V16" s="1" t="str">
        <f t="shared" si="73"/>
        <v>EE2</v>
      </c>
      <c r="W16" s="2" t="s">
        <v>0</v>
      </c>
      <c r="X16" s="2" t="s">
        <v>0</v>
      </c>
      <c r="Y16" s="2" t="s">
        <v>0</v>
      </c>
      <c r="Z16" s="2" t="s">
        <v>0</v>
      </c>
      <c r="AA16" s="1" t="str">
        <f t="shared" ref="AA16:AO16" si="74">"EE" &amp; (99 + COLUMNS($A10:A10))</f>
        <v>EE100</v>
      </c>
      <c r="AB16" s="1" t="str">
        <f t="shared" si="74"/>
        <v>EE101</v>
      </c>
      <c r="AC16" s="1" t="str">
        <f t="shared" si="74"/>
        <v>EE102</v>
      </c>
      <c r="AD16" s="1" t="str">
        <f t="shared" si="74"/>
        <v>EE103</v>
      </c>
      <c r="AE16" s="1" t="str">
        <f t="shared" si="74"/>
        <v>EE104</v>
      </c>
      <c r="AF16" s="1" t="str">
        <f t="shared" si="74"/>
        <v>EE105</v>
      </c>
      <c r="AG16" s="1" t="str">
        <f t="shared" si="74"/>
        <v>EE106</v>
      </c>
      <c r="AH16" s="1" t="str">
        <f t="shared" si="74"/>
        <v>EE107</v>
      </c>
      <c r="AI16" s="1" t="str">
        <f t="shared" si="74"/>
        <v>EE108</v>
      </c>
      <c r="AJ16" s="1" t="str">
        <f t="shared" si="74"/>
        <v>EE109</v>
      </c>
      <c r="AK16" s="1" t="str">
        <f t="shared" si="74"/>
        <v>EE110</v>
      </c>
      <c r="AL16" s="1" t="str">
        <f t="shared" si="74"/>
        <v>EE111</v>
      </c>
      <c r="AM16" s="1" t="str">
        <f t="shared" si="74"/>
        <v>EE112</v>
      </c>
      <c r="AN16" s="1" t="str">
        <f t="shared" si="74"/>
        <v>EE113</v>
      </c>
      <c r="AO16" s="1" t="str">
        <f t="shared" si="74"/>
        <v>EE114</v>
      </c>
      <c r="AQ16" s="2" t="s">
        <v>0</v>
      </c>
      <c r="AR16" s="2" t="s">
        <v>0</v>
      </c>
      <c r="AS16" s="2" t="s">
        <v>0</v>
      </c>
      <c r="AT16" s="1" t="str">
        <f t="shared" ref="AT16:BH16" si="75">"EE" &amp; (1 + (COLUMNS($A15:A15) - 1) * 2)</f>
        <v>EE1</v>
      </c>
      <c r="AU16" s="1" t="str">
        <f t="shared" si="75"/>
        <v>EE3</v>
      </c>
      <c r="AV16" s="1" t="str">
        <f t="shared" si="75"/>
        <v>EE5</v>
      </c>
      <c r="AW16" s="1" t="str">
        <f t="shared" si="75"/>
        <v>EE7</v>
      </c>
      <c r="AX16" s="1" t="str">
        <f t="shared" si="75"/>
        <v>EE9</v>
      </c>
      <c r="AY16" s="1" t="str">
        <f t="shared" si="75"/>
        <v>EE11</v>
      </c>
      <c r="AZ16" s="1" t="str">
        <f t="shared" si="75"/>
        <v>EE13</v>
      </c>
      <c r="BA16" s="1" t="str">
        <f t="shared" si="75"/>
        <v>EE15</v>
      </c>
      <c r="BB16" s="1" t="str">
        <f t="shared" si="75"/>
        <v>EE17</v>
      </c>
      <c r="BC16" s="1" t="str">
        <f t="shared" si="75"/>
        <v>EE19</v>
      </c>
      <c r="BD16" s="1" t="str">
        <f t="shared" si="75"/>
        <v>EE21</v>
      </c>
      <c r="BE16" s="1" t="str">
        <f t="shared" si="75"/>
        <v>EE23</v>
      </c>
      <c r="BF16" s="1" t="str">
        <f t="shared" si="75"/>
        <v>EE25</v>
      </c>
      <c r="BG16" s="1" t="str">
        <f t="shared" si="75"/>
        <v>EE27</v>
      </c>
      <c r="BH16" s="1" t="str">
        <f t="shared" si="75"/>
        <v>EE29</v>
      </c>
      <c r="BJ16" s="1" t="str">
        <f t="shared" ref="BJ16:BP16" si="76">"EE" &amp; (1 + (COLUMNS($A15:P15) - 1) * 2)</f>
        <v>EE31</v>
      </c>
      <c r="BK16" s="1" t="str">
        <f t="shared" si="76"/>
        <v>EE33</v>
      </c>
      <c r="BL16" s="1" t="str">
        <f t="shared" si="76"/>
        <v>EE35</v>
      </c>
      <c r="BM16" s="1" t="str">
        <f t="shared" si="76"/>
        <v>EE37</v>
      </c>
      <c r="BN16" s="1" t="str">
        <f t="shared" si="76"/>
        <v>EE39</v>
      </c>
      <c r="BO16" s="1" t="str">
        <f t="shared" si="76"/>
        <v>EE41</v>
      </c>
      <c r="BP16" s="1" t="str">
        <f t="shared" si="76"/>
        <v>EE43</v>
      </c>
    </row>
    <row r="17" spans="1:64" x14ac:dyDescent="0.25">
      <c r="F17" s="1" t="str">
        <f t="shared" ref="F17:G17" si="77">"DD" &amp; (42 - (COLUMN() - COLUMN($A$2)) * 2)</f>
        <v>DD32</v>
      </c>
      <c r="G17" s="1" t="str">
        <f t="shared" si="77"/>
        <v>DD30</v>
      </c>
      <c r="H17" s="2" t="s">
        <v>0</v>
      </c>
      <c r="I17" s="1" t="str">
        <f t="shared" ref="I17:V17" si="78">"DD" &amp; (44 - (COLUMN() - COLUMN($A$2)) * 2)</f>
        <v>DD28</v>
      </c>
      <c r="J17" s="1" t="str">
        <f t="shared" si="78"/>
        <v>DD26</v>
      </c>
      <c r="K17" s="1" t="str">
        <f t="shared" si="78"/>
        <v>DD24</v>
      </c>
      <c r="L17" s="1" t="str">
        <f t="shared" si="78"/>
        <v>DD22</v>
      </c>
      <c r="M17" s="1" t="str">
        <f t="shared" si="78"/>
        <v>DD20</v>
      </c>
      <c r="N17" s="1" t="str">
        <f t="shared" si="78"/>
        <v>DD18</v>
      </c>
      <c r="O17" s="1" t="str">
        <f t="shared" si="78"/>
        <v>DD16</v>
      </c>
      <c r="P17" s="1" t="str">
        <f t="shared" si="78"/>
        <v>DD14</v>
      </c>
      <c r="Q17" s="1" t="str">
        <f t="shared" si="78"/>
        <v>DD12</v>
      </c>
      <c r="R17" s="1" t="str">
        <f t="shared" si="78"/>
        <v>DD10</v>
      </c>
      <c r="S17" s="1" t="str">
        <f t="shared" si="78"/>
        <v>DD8</v>
      </c>
      <c r="T17" s="1" t="str">
        <f t="shared" si="78"/>
        <v>DD6</v>
      </c>
      <c r="U17" s="1" t="str">
        <f t="shared" si="78"/>
        <v>DD4</v>
      </c>
      <c r="V17" s="1" t="str">
        <f t="shared" si="78"/>
        <v>DD2</v>
      </c>
      <c r="W17" s="2" t="s">
        <v>0</v>
      </c>
      <c r="X17" s="2" t="s">
        <v>0</v>
      </c>
      <c r="Y17" s="2" t="s">
        <v>0</v>
      </c>
      <c r="Z17" s="2" t="s">
        <v>0</v>
      </c>
      <c r="AA17" s="1" t="str">
        <f t="shared" ref="AA17:AP17" si="79">"DD" &amp; (99 + COLUMNS($A11:A11))</f>
        <v>DD100</v>
      </c>
      <c r="AB17" s="1" t="str">
        <f t="shared" si="79"/>
        <v>DD101</v>
      </c>
      <c r="AC17" s="1" t="str">
        <f t="shared" si="79"/>
        <v>DD102</v>
      </c>
      <c r="AD17" s="1" t="str">
        <f t="shared" si="79"/>
        <v>DD103</v>
      </c>
      <c r="AE17" s="1" t="str">
        <f t="shared" si="79"/>
        <v>DD104</v>
      </c>
      <c r="AF17" s="1" t="str">
        <f t="shared" si="79"/>
        <v>DD105</v>
      </c>
      <c r="AG17" s="1" t="str">
        <f t="shared" si="79"/>
        <v>DD106</v>
      </c>
      <c r="AH17" s="1" t="str">
        <f t="shared" si="79"/>
        <v>DD107</v>
      </c>
      <c r="AI17" s="1" t="str">
        <f t="shared" si="79"/>
        <v>DD108</v>
      </c>
      <c r="AJ17" s="1" t="str">
        <f t="shared" si="79"/>
        <v>DD109</v>
      </c>
      <c r="AK17" s="1" t="str">
        <f t="shared" si="79"/>
        <v>DD110</v>
      </c>
      <c r="AL17" s="1" t="str">
        <f t="shared" si="79"/>
        <v>DD111</v>
      </c>
      <c r="AM17" s="1" t="str">
        <f t="shared" si="79"/>
        <v>DD112</v>
      </c>
      <c r="AN17" s="1" t="str">
        <f t="shared" si="79"/>
        <v>DD113</v>
      </c>
      <c r="AO17" s="1" t="str">
        <f t="shared" si="79"/>
        <v>DD114</v>
      </c>
      <c r="AP17" s="1" t="str">
        <f t="shared" si="79"/>
        <v>DD115</v>
      </c>
      <c r="AQ17" s="2" t="s">
        <v>0</v>
      </c>
      <c r="AR17" s="2" t="s">
        <v>0</v>
      </c>
      <c r="AS17" s="2" t="s">
        <v>0</v>
      </c>
      <c r="AT17" s="1" t="str">
        <f t="shared" ref="AT17:BH17" si="80">"DD" &amp; (1 + (COLUMNS($A16:A16) - 1) * 2)</f>
        <v>DD1</v>
      </c>
      <c r="AU17" s="1" t="str">
        <f t="shared" si="80"/>
        <v>DD3</v>
      </c>
      <c r="AV17" s="1" t="str">
        <f t="shared" si="80"/>
        <v>DD5</v>
      </c>
      <c r="AW17" s="1" t="str">
        <f t="shared" si="80"/>
        <v>DD7</v>
      </c>
      <c r="AX17" s="1" t="str">
        <f t="shared" si="80"/>
        <v>DD9</v>
      </c>
      <c r="AY17" s="1" t="str">
        <f t="shared" si="80"/>
        <v>DD11</v>
      </c>
      <c r="AZ17" s="1" t="str">
        <f t="shared" si="80"/>
        <v>DD13</v>
      </c>
      <c r="BA17" s="1" t="str">
        <f t="shared" si="80"/>
        <v>DD15</v>
      </c>
      <c r="BB17" s="1" t="str">
        <f t="shared" si="80"/>
        <v>DD17</v>
      </c>
      <c r="BC17" s="1" t="str">
        <f t="shared" si="80"/>
        <v>DD19</v>
      </c>
      <c r="BD17" s="1" t="str">
        <f t="shared" si="80"/>
        <v>DD21</v>
      </c>
      <c r="BE17" s="1" t="str">
        <f t="shared" si="80"/>
        <v>DD23</v>
      </c>
      <c r="BF17" s="1" t="str">
        <f t="shared" si="80"/>
        <v>DD25</v>
      </c>
      <c r="BG17" s="1" t="str">
        <f t="shared" si="80"/>
        <v>DD27</v>
      </c>
      <c r="BH17" s="1" t="str">
        <f t="shared" si="80"/>
        <v>DD29</v>
      </c>
      <c r="BJ17" s="1" t="str">
        <f t="shared" ref="BJ17:BK17" si="81">"DD" &amp; (1 + (COLUMNS($A16:P16) - 1) * 2)</f>
        <v>DD31</v>
      </c>
      <c r="BK17" s="1" t="str">
        <f t="shared" si="81"/>
        <v>DD33</v>
      </c>
    </row>
    <row r="18" spans="1:64" x14ac:dyDescent="0.25">
      <c r="F18" s="1" t="str">
        <f t="shared" ref="F18:G18" si="82">"CC" &amp; (42 - (COLUMN() - COLUMN($A$2)) * 2)</f>
        <v>CC32</v>
      </c>
      <c r="G18" s="1" t="str">
        <f t="shared" si="82"/>
        <v>CC30</v>
      </c>
      <c r="H18" s="2" t="s">
        <v>0</v>
      </c>
      <c r="I18" s="1" t="str">
        <f t="shared" ref="I18:V18" si="83">"CC" &amp; (44 - (COLUMN() - COLUMN($A$2)) * 2)</f>
        <v>CC28</v>
      </c>
      <c r="J18" s="1" t="str">
        <f t="shared" si="83"/>
        <v>CC26</v>
      </c>
      <c r="K18" s="1" t="str">
        <f t="shared" si="83"/>
        <v>CC24</v>
      </c>
      <c r="L18" s="1" t="str">
        <f t="shared" si="83"/>
        <v>CC22</v>
      </c>
      <c r="M18" s="1" t="str">
        <f t="shared" si="83"/>
        <v>CC20</v>
      </c>
      <c r="N18" s="1" t="str">
        <f t="shared" si="83"/>
        <v>CC18</v>
      </c>
      <c r="O18" s="1" t="str">
        <f t="shared" si="83"/>
        <v>CC16</v>
      </c>
      <c r="P18" s="1" t="str">
        <f t="shared" si="83"/>
        <v>CC14</v>
      </c>
      <c r="Q18" s="1" t="str">
        <f t="shared" si="83"/>
        <v>CC12</v>
      </c>
      <c r="R18" s="1" t="str">
        <f t="shared" si="83"/>
        <v>CC10</v>
      </c>
      <c r="S18" s="1" t="str">
        <f t="shared" si="83"/>
        <v>CC8</v>
      </c>
      <c r="T18" s="1" t="str">
        <f t="shared" si="83"/>
        <v>CC6</v>
      </c>
      <c r="U18" s="1" t="str">
        <f t="shared" si="83"/>
        <v>CC4</v>
      </c>
      <c r="V18" s="1" t="str">
        <f t="shared" si="83"/>
        <v>CC2</v>
      </c>
      <c r="W18" s="2" t="s">
        <v>0</v>
      </c>
      <c r="X18" s="2" t="s">
        <v>0</v>
      </c>
      <c r="Y18" s="2" t="s">
        <v>0</v>
      </c>
      <c r="Z18" s="2" t="s">
        <v>0</v>
      </c>
      <c r="AA18" s="1" t="str">
        <f t="shared" ref="AA18:AO18" si="84">"CC" &amp; (99 + COLUMNS($A12:A12))</f>
        <v>CC100</v>
      </c>
      <c r="AB18" s="1" t="str">
        <f t="shared" si="84"/>
        <v>CC101</v>
      </c>
      <c r="AC18" s="1" t="str">
        <f t="shared" si="84"/>
        <v>CC102</v>
      </c>
      <c r="AD18" s="1" t="str">
        <f t="shared" si="84"/>
        <v>CC103</v>
      </c>
      <c r="AE18" s="1" t="str">
        <f t="shared" si="84"/>
        <v>CC104</v>
      </c>
      <c r="AF18" s="1" t="str">
        <f t="shared" si="84"/>
        <v>CC105</v>
      </c>
      <c r="AG18" s="1" t="str">
        <f t="shared" si="84"/>
        <v>CC106</v>
      </c>
      <c r="AH18" s="1" t="str">
        <f t="shared" si="84"/>
        <v>CC107</v>
      </c>
      <c r="AI18" s="1" t="str">
        <f t="shared" si="84"/>
        <v>CC108</v>
      </c>
      <c r="AJ18" s="1" t="str">
        <f t="shared" si="84"/>
        <v>CC109</v>
      </c>
      <c r="AK18" s="1" t="str">
        <f t="shared" si="84"/>
        <v>CC110</v>
      </c>
      <c r="AL18" s="1" t="str">
        <f t="shared" si="84"/>
        <v>CC111</v>
      </c>
      <c r="AM18" s="1" t="str">
        <f t="shared" si="84"/>
        <v>CC112</v>
      </c>
      <c r="AN18" s="1" t="str">
        <f t="shared" si="84"/>
        <v>CC113</v>
      </c>
      <c r="AO18" s="1" t="str">
        <f t="shared" si="84"/>
        <v>CC114</v>
      </c>
      <c r="AQ18" s="2" t="s">
        <v>0</v>
      </c>
      <c r="AR18" s="2" t="s">
        <v>0</v>
      </c>
      <c r="AS18" s="2" t="s">
        <v>0</v>
      </c>
      <c r="AT18" s="1" t="str">
        <f t="shared" ref="AT18:BH18" si="85">"CC" &amp; (1 + (COLUMNS($A17:A17) - 1) * 2)</f>
        <v>CC1</v>
      </c>
      <c r="AU18" s="1" t="str">
        <f t="shared" si="85"/>
        <v>CC3</v>
      </c>
      <c r="AV18" s="1" t="str">
        <f t="shared" si="85"/>
        <v>CC5</v>
      </c>
      <c r="AW18" s="1" t="str">
        <f t="shared" si="85"/>
        <v>CC7</v>
      </c>
      <c r="AX18" s="1" t="str">
        <f t="shared" si="85"/>
        <v>CC9</v>
      </c>
      <c r="AY18" s="1" t="str">
        <f t="shared" si="85"/>
        <v>CC11</v>
      </c>
      <c r="AZ18" s="1" t="str">
        <f t="shared" si="85"/>
        <v>CC13</v>
      </c>
      <c r="BA18" s="1" t="str">
        <f t="shared" si="85"/>
        <v>CC15</v>
      </c>
      <c r="BB18" s="1" t="str">
        <f t="shared" si="85"/>
        <v>CC17</v>
      </c>
      <c r="BC18" s="1" t="str">
        <f t="shared" si="85"/>
        <v>CC19</v>
      </c>
      <c r="BD18" s="1" t="str">
        <f t="shared" si="85"/>
        <v>CC21</v>
      </c>
      <c r="BE18" s="1" t="str">
        <f t="shared" si="85"/>
        <v>CC23</v>
      </c>
      <c r="BF18" s="1" t="str">
        <f t="shared" si="85"/>
        <v>CC25</v>
      </c>
      <c r="BG18" s="1" t="str">
        <f t="shared" si="85"/>
        <v>CC27</v>
      </c>
      <c r="BH18" s="1" t="str">
        <f t="shared" si="85"/>
        <v>CC29</v>
      </c>
      <c r="BJ18" s="1" t="str">
        <f t="shared" ref="BJ18:BK18" si="86">"CC" &amp; (1 + (COLUMNS($A17:P17) - 1) * 2)</f>
        <v>CC31</v>
      </c>
      <c r="BK18" s="1" t="str">
        <f t="shared" si="86"/>
        <v>CC33</v>
      </c>
    </row>
    <row r="19" spans="1:64" x14ac:dyDescent="0.25">
      <c r="F19" s="1" t="str">
        <f t="shared" ref="F19:G19" si="87">"BB" &amp; (42 - (COLUMN() - COLUMN($A$2)) * 2)</f>
        <v>BB32</v>
      </c>
      <c r="G19" s="1" t="str">
        <f t="shared" si="87"/>
        <v>BB30</v>
      </c>
      <c r="H19" s="2" t="s">
        <v>0</v>
      </c>
      <c r="I19" s="1" t="str">
        <f>"BB" &amp; (44 - (COLUMN() - COLUMN($A$2)) * 2)</f>
        <v>BB28</v>
      </c>
      <c r="J19" s="1" t="str">
        <f t="shared" ref="J19:V19" si="88">"BB" &amp; (44 - (COLUMN() - COLUMN($A$2)) * 2)</f>
        <v>BB26</v>
      </c>
      <c r="K19" s="1" t="str">
        <f t="shared" si="88"/>
        <v>BB24</v>
      </c>
      <c r="L19" s="1" t="str">
        <f t="shared" si="88"/>
        <v>BB22</v>
      </c>
      <c r="M19" s="1" t="str">
        <f t="shared" si="88"/>
        <v>BB20</v>
      </c>
      <c r="N19" s="1" t="str">
        <f t="shared" si="88"/>
        <v>BB18</v>
      </c>
      <c r="O19" s="1" t="str">
        <f t="shared" si="88"/>
        <v>BB16</v>
      </c>
      <c r="P19" s="1" t="str">
        <f t="shared" si="88"/>
        <v>BB14</v>
      </c>
      <c r="Q19" s="1" t="str">
        <f t="shared" si="88"/>
        <v>BB12</v>
      </c>
      <c r="R19" s="1" t="str">
        <f t="shared" si="88"/>
        <v>BB10</v>
      </c>
      <c r="S19" s="1" t="str">
        <f t="shared" si="88"/>
        <v>BB8</v>
      </c>
      <c r="T19" s="1" t="str">
        <f t="shared" si="88"/>
        <v>BB6</v>
      </c>
      <c r="U19" s="1" t="str">
        <f t="shared" si="88"/>
        <v>BB4</v>
      </c>
      <c r="V19" s="1" t="str">
        <f t="shared" si="88"/>
        <v>BB2</v>
      </c>
      <c r="W19" s="2" t="s">
        <v>0</v>
      </c>
      <c r="X19" s="2" t="s">
        <v>0</v>
      </c>
      <c r="Y19" s="2" t="s">
        <v>0</v>
      </c>
      <c r="Z19" s="2" t="s">
        <v>0</v>
      </c>
      <c r="AA19" s="1" t="str">
        <f t="shared" ref="AA19:AP19" si="89">"BB" &amp; (99 + COLUMNS($A13:A13))</f>
        <v>BB100</v>
      </c>
      <c r="AB19" s="1" t="str">
        <f t="shared" si="89"/>
        <v>BB101</v>
      </c>
      <c r="AC19" s="1" t="str">
        <f t="shared" si="89"/>
        <v>BB102</v>
      </c>
      <c r="AD19" s="1" t="str">
        <f t="shared" si="89"/>
        <v>BB103</v>
      </c>
      <c r="AE19" s="1" t="str">
        <f t="shared" si="89"/>
        <v>BB104</v>
      </c>
      <c r="AF19" s="1" t="str">
        <f t="shared" si="89"/>
        <v>BB105</v>
      </c>
      <c r="AG19" s="1" t="str">
        <f t="shared" si="89"/>
        <v>BB106</v>
      </c>
      <c r="AH19" s="1" t="str">
        <f t="shared" si="89"/>
        <v>BB107</v>
      </c>
      <c r="AI19" s="1" t="str">
        <f t="shared" si="89"/>
        <v>BB108</v>
      </c>
      <c r="AJ19" s="1" t="str">
        <f t="shared" si="89"/>
        <v>BB109</v>
      </c>
      <c r="AK19" s="1" t="str">
        <f t="shared" si="89"/>
        <v>BB110</v>
      </c>
      <c r="AL19" s="1" t="str">
        <f t="shared" si="89"/>
        <v>BB111</v>
      </c>
      <c r="AM19" s="1" t="str">
        <f t="shared" si="89"/>
        <v>BB112</v>
      </c>
      <c r="AN19" s="1" t="str">
        <f t="shared" si="89"/>
        <v>BB113</v>
      </c>
      <c r="AO19" s="1" t="str">
        <f t="shared" si="89"/>
        <v>BB114</v>
      </c>
      <c r="AP19" s="1" t="str">
        <f t="shared" si="89"/>
        <v>BB115</v>
      </c>
      <c r="AQ19" s="2" t="s">
        <v>0</v>
      </c>
      <c r="AR19" s="2" t="s">
        <v>0</v>
      </c>
      <c r="AS19" s="2" t="s">
        <v>0</v>
      </c>
      <c r="AT19" s="1" t="str">
        <f t="shared" ref="AT19:BH19" si="90">"BB" &amp; (1 + (COLUMNS($A18:A18) - 1) * 2)</f>
        <v>BB1</v>
      </c>
      <c r="AU19" s="1" t="str">
        <f t="shared" si="90"/>
        <v>BB3</v>
      </c>
      <c r="AV19" s="1" t="str">
        <f t="shared" si="90"/>
        <v>BB5</v>
      </c>
      <c r="AW19" s="1" t="str">
        <f t="shared" si="90"/>
        <v>BB7</v>
      </c>
      <c r="AX19" s="1" t="str">
        <f t="shared" si="90"/>
        <v>BB9</v>
      </c>
      <c r="AY19" s="1" t="str">
        <f t="shared" si="90"/>
        <v>BB11</v>
      </c>
      <c r="AZ19" s="1" t="str">
        <f t="shared" si="90"/>
        <v>BB13</v>
      </c>
      <c r="BA19" s="1" t="str">
        <f t="shared" si="90"/>
        <v>BB15</v>
      </c>
      <c r="BB19" s="1" t="str">
        <f t="shared" si="90"/>
        <v>BB17</v>
      </c>
      <c r="BC19" s="1" t="str">
        <f t="shared" si="90"/>
        <v>BB19</v>
      </c>
      <c r="BD19" s="1" t="str">
        <f t="shared" si="90"/>
        <v>BB21</v>
      </c>
      <c r="BE19" s="1" t="str">
        <f t="shared" si="90"/>
        <v>BB23</v>
      </c>
      <c r="BF19" s="1" t="str">
        <f t="shared" si="90"/>
        <v>BB25</v>
      </c>
      <c r="BG19" s="1" t="str">
        <f t="shared" si="90"/>
        <v>BB27</v>
      </c>
      <c r="BH19" s="1" t="str">
        <f t="shared" si="90"/>
        <v>BB29</v>
      </c>
      <c r="BJ19" s="1" t="str">
        <f t="shared" ref="BJ19:BK19" si="91">"BB" &amp; (1 + (COLUMNS($A18:P18) - 1) * 2)</f>
        <v>BB31</v>
      </c>
      <c r="BK19" s="1" t="str">
        <f t="shared" si="91"/>
        <v>BB33</v>
      </c>
    </row>
    <row r="20" spans="1:64" x14ac:dyDescent="0.25">
      <c r="F20" s="1" t="str">
        <f t="shared" ref="F20:G20" si="92">"AA" &amp; (42 - (COLUMN() - COLUMN($A$2)) * 2)</f>
        <v>AA32</v>
      </c>
      <c r="G20" s="1" t="str">
        <f t="shared" si="92"/>
        <v>AA30</v>
      </c>
      <c r="H20" s="2" t="s">
        <v>0</v>
      </c>
      <c r="I20" s="1" t="str">
        <f t="shared" ref="I20:V20" si="93">"AA" &amp; (44 - (COLUMN() - COLUMN($A$2)) * 2)</f>
        <v>AA28</v>
      </c>
      <c r="J20" s="1" t="str">
        <f t="shared" si="93"/>
        <v>AA26</v>
      </c>
      <c r="K20" s="1" t="str">
        <f t="shared" si="93"/>
        <v>AA24</v>
      </c>
      <c r="L20" s="1" t="str">
        <f t="shared" si="93"/>
        <v>AA22</v>
      </c>
      <c r="M20" s="1" t="str">
        <f t="shared" si="93"/>
        <v>AA20</v>
      </c>
      <c r="N20" s="1" t="str">
        <f t="shared" si="93"/>
        <v>AA18</v>
      </c>
      <c r="O20" s="1" t="str">
        <f t="shared" si="93"/>
        <v>AA16</v>
      </c>
      <c r="P20" s="1" t="str">
        <f t="shared" si="93"/>
        <v>AA14</v>
      </c>
      <c r="Q20" s="1" t="str">
        <f t="shared" si="93"/>
        <v>AA12</v>
      </c>
      <c r="R20" s="1" t="str">
        <f t="shared" si="93"/>
        <v>AA10</v>
      </c>
      <c r="S20" s="1" t="str">
        <f t="shared" si="93"/>
        <v>AA8</v>
      </c>
      <c r="T20" s="1" t="str">
        <f t="shared" si="93"/>
        <v>AA6</v>
      </c>
      <c r="U20" s="1" t="str">
        <f t="shared" si="93"/>
        <v>AA4</v>
      </c>
      <c r="V20" s="1" t="str">
        <f t="shared" si="93"/>
        <v>AA2</v>
      </c>
      <c r="W20" s="2" t="s">
        <v>0</v>
      </c>
      <c r="X20" s="2" t="s">
        <v>0</v>
      </c>
      <c r="Y20" s="2" t="s">
        <v>0</v>
      </c>
      <c r="Z20" s="2" t="s">
        <v>0</v>
      </c>
      <c r="AA20" s="1" t="str">
        <f t="shared" ref="AA20:AO20" si="94">"AA" &amp; (99 + COLUMNS($A14:A14))</f>
        <v>AA100</v>
      </c>
      <c r="AB20" s="1" t="str">
        <f t="shared" si="94"/>
        <v>AA101</v>
      </c>
      <c r="AC20" s="1" t="str">
        <f t="shared" si="94"/>
        <v>AA102</v>
      </c>
      <c r="AD20" s="1" t="str">
        <f t="shared" si="94"/>
        <v>AA103</v>
      </c>
      <c r="AE20" s="1" t="str">
        <f t="shared" si="94"/>
        <v>AA104</v>
      </c>
      <c r="AF20" s="1" t="str">
        <f t="shared" si="94"/>
        <v>AA105</v>
      </c>
      <c r="AG20" s="1" t="str">
        <f t="shared" si="94"/>
        <v>AA106</v>
      </c>
      <c r="AH20" s="1" t="str">
        <f t="shared" si="94"/>
        <v>AA107</v>
      </c>
      <c r="AI20" s="1" t="str">
        <f t="shared" si="94"/>
        <v>AA108</v>
      </c>
      <c r="AJ20" s="1" t="str">
        <f t="shared" si="94"/>
        <v>AA109</v>
      </c>
      <c r="AK20" s="1" t="str">
        <f t="shared" si="94"/>
        <v>AA110</v>
      </c>
      <c r="AL20" s="1" t="str">
        <f t="shared" si="94"/>
        <v>AA111</v>
      </c>
      <c r="AM20" s="1" t="str">
        <f t="shared" si="94"/>
        <v>AA112</v>
      </c>
      <c r="AN20" s="1" t="str">
        <f t="shared" si="94"/>
        <v>AA113</v>
      </c>
      <c r="AO20" s="1" t="str">
        <f t="shared" si="94"/>
        <v>AA114</v>
      </c>
      <c r="AQ20" s="2" t="s">
        <v>0</v>
      </c>
      <c r="AR20" s="2" t="s">
        <v>0</v>
      </c>
      <c r="AS20" s="2" t="s">
        <v>0</v>
      </c>
      <c r="AT20" s="1" t="str">
        <f t="shared" ref="AT20:BH20" si="95">"AA" &amp; (1 + (COLUMNS($A19:A19) - 1) * 2)</f>
        <v>AA1</v>
      </c>
      <c r="AU20" s="1" t="str">
        <f t="shared" si="95"/>
        <v>AA3</v>
      </c>
      <c r="AV20" s="1" t="str">
        <f t="shared" si="95"/>
        <v>AA5</v>
      </c>
      <c r="AW20" s="1" t="str">
        <f t="shared" si="95"/>
        <v>AA7</v>
      </c>
      <c r="AX20" s="1" t="str">
        <f t="shared" si="95"/>
        <v>AA9</v>
      </c>
      <c r="AY20" s="1" t="str">
        <f t="shared" si="95"/>
        <v>AA11</v>
      </c>
      <c r="AZ20" s="1" t="str">
        <f t="shared" si="95"/>
        <v>AA13</v>
      </c>
      <c r="BA20" s="1" t="str">
        <f t="shared" si="95"/>
        <v>AA15</v>
      </c>
      <c r="BB20" s="1" t="str">
        <f t="shared" si="95"/>
        <v>AA17</v>
      </c>
      <c r="BC20" s="1" t="str">
        <f t="shared" si="95"/>
        <v>AA19</v>
      </c>
      <c r="BD20" s="1" t="str">
        <f t="shared" si="95"/>
        <v>AA21</v>
      </c>
      <c r="BE20" s="1" t="str">
        <f t="shared" si="95"/>
        <v>AA23</v>
      </c>
      <c r="BF20" s="1" t="str">
        <f t="shared" si="95"/>
        <v>AA25</v>
      </c>
      <c r="BG20" s="1" t="str">
        <f t="shared" si="95"/>
        <v>AA27</v>
      </c>
      <c r="BH20" s="1" t="str">
        <f t="shared" si="95"/>
        <v>AA29</v>
      </c>
      <c r="BJ20" s="1" t="str">
        <f t="shared" ref="BJ20:BK20" si="96">"AA" &amp; (1 + (COLUMNS($A19:P19) - 1) * 2)</f>
        <v>AA31</v>
      </c>
      <c r="BK20" s="1" t="str">
        <f t="shared" si="96"/>
        <v>AA33</v>
      </c>
    </row>
    <row r="21" spans="1:64" x14ac:dyDescent="0.25">
      <c r="A21" s="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0</v>
      </c>
      <c r="AD21" s="2" t="s">
        <v>0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0</v>
      </c>
      <c r="AJ21" s="2" t="s">
        <v>0</v>
      </c>
      <c r="AK21" s="2" t="s">
        <v>0</v>
      </c>
      <c r="AL21" s="2" t="s">
        <v>0</v>
      </c>
      <c r="AM21" s="2" t="s">
        <v>0</v>
      </c>
      <c r="AN21" s="2" t="s">
        <v>0</v>
      </c>
      <c r="AO21" s="2" t="s">
        <v>0</v>
      </c>
      <c r="AP21" s="2" t="s">
        <v>0</v>
      </c>
      <c r="AQ21" s="2" t="s">
        <v>0</v>
      </c>
      <c r="AR21" s="2" t="s">
        <v>0</v>
      </c>
      <c r="AS21" s="2" t="s">
        <v>0</v>
      </c>
      <c r="AT21" s="2" t="s">
        <v>0</v>
      </c>
      <c r="AU21" s="2" t="s">
        <v>0</v>
      </c>
      <c r="AV21" s="2" t="s">
        <v>0</v>
      </c>
      <c r="AW21" s="2" t="s">
        <v>0</v>
      </c>
      <c r="AX21" s="2" t="s">
        <v>0</v>
      </c>
      <c r="AY21" s="2" t="s">
        <v>0</v>
      </c>
      <c r="AZ21" s="2" t="s">
        <v>0</v>
      </c>
      <c r="BA21" s="2" t="s">
        <v>0</v>
      </c>
      <c r="BB21" s="2" t="s">
        <v>0</v>
      </c>
      <c r="BC21" s="2" t="s">
        <v>0</v>
      </c>
      <c r="BD21" s="2" t="s">
        <v>0</v>
      </c>
      <c r="BE21" s="2" t="s">
        <v>0</v>
      </c>
      <c r="BF21" s="2" t="s">
        <v>0</v>
      </c>
      <c r="BG21" s="2" t="s">
        <v>0</v>
      </c>
      <c r="BH21" s="2" t="s">
        <v>0</v>
      </c>
      <c r="BI21" s="2" t="s">
        <v>0</v>
      </c>
      <c r="BJ21" s="2" t="s">
        <v>0</v>
      </c>
      <c r="BK21" s="2" t="s">
        <v>0</v>
      </c>
      <c r="BL21" s="2" t="s">
        <v>0</v>
      </c>
    </row>
    <row r="22" spans="1:64" x14ac:dyDescent="0.25">
      <c r="A22" s="2" t="s">
        <v>0</v>
      </c>
      <c r="B22" s="2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</row>
    <row r="23" spans="1:64" x14ac:dyDescent="0.25">
      <c r="A23" s="2" t="s">
        <v>0</v>
      </c>
      <c r="B23" s="2" t="s">
        <v>0</v>
      </c>
      <c r="C23" s="2" t="s">
        <v>0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2" t="s">
        <v>0</v>
      </c>
      <c r="AB23" s="2" t="s">
        <v>0</v>
      </c>
      <c r="AC23" s="2" t="s">
        <v>0</v>
      </c>
      <c r="AD23" s="2" t="s">
        <v>0</v>
      </c>
      <c r="AE23" s="2" t="s">
        <v>0</v>
      </c>
      <c r="AF23" s="2" t="s">
        <v>0</v>
      </c>
      <c r="AG23" s="2" t="s">
        <v>0</v>
      </c>
      <c r="AH23" s="2" t="s">
        <v>0</v>
      </c>
      <c r="AI23" s="2" t="s">
        <v>0</v>
      </c>
      <c r="AJ23" s="2" t="s">
        <v>0</v>
      </c>
      <c r="AK23" s="2" t="s">
        <v>0</v>
      </c>
      <c r="AL23" s="2" t="s">
        <v>0</v>
      </c>
      <c r="AM23" s="2" t="s">
        <v>0</v>
      </c>
      <c r="AN23" s="2" t="s">
        <v>0</v>
      </c>
      <c r="AO23" s="2" t="s">
        <v>0</v>
      </c>
      <c r="AP23" s="2" t="s">
        <v>0</v>
      </c>
      <c r="AQ23" s="2" t="s">
        <v>0</v>
      </c>
      <c r="AR23" s="2" t="s">
        <v>0</v>
      </c>
      <c r="AS23" s="2" t="s">
        <v>0</v>
      </c>
      <c r="AT23" s="2" t="s">
        <v>0</v>
      </c>
      <c r="AU23" s="2" t="s">
        <v>0</v>
      </c>
      <c r="AV23" s="2" t="s">
        <v>0</v>
      </c>
      <c r="AW23" s="2" t="s">
        <v>0</v>
      </c>
      <c r="AX23" s="2" t="s">
        <v>0</v>
      </c>
      <c r="AY23" s="2" t="s">
        <v>0</v>
      </c>
      <c r="AZ23" s="2" t="s">
        <v>0</v>
      </c>
      <c r="BA23" s="2" t="s">
        <v>0</v>
      </c>
      <c r="BB23" s="2" t="s">
        <v>0</v>
      </c>
      <c r="BC23" s="2" t="s">
        <v>0</v>
      </c>
      <c r="BD23" s="2" t="s">
        <v>0</v>
      </c>
      <c r="BE23" s="2" t="s">
        <v>0</v>
      </c>
      <c r="BF23" s="2" t="s">
        <v>0</v>
      </c>
      <c r="BG23" s="2" t="s">
        <v>0</v>
      </c>
      <c r="BH23" s="2" t="s">
        <v>0</v>
      </c>
      <c r="BI23" s="2" t="s">
        <v>0</v>
      </c>
      <c r="BJ23" s="2" t="s">
        <v>0</v>
      </c>
      <c r="BK23" s="2" t="s">
        <v>0</v>
      </c>
      <c r="BL23" s="2" t="s">
        <v>0</v>
      </c>
    </row>
    <row r="24" spans="1:64" x14ac:dyDescent="0.25">
      <c r="A24" s="2" t="s">
        <v>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0</v>
      </c>
      <c r="AF24" s="2" t="s">
        <v>0</v>
      </c>
      <c r="AG24" s="2" t="s">
        <v>0</v>
      </c>
      <c r="AH24" s="2" t="s">
        <v>0</v>
      </c>
      <c r="AI24" s="2" t="s">
        <v>0</v>
      </c>
      <c r="AJ24" s="2" t="s">
        <v>0</v>
      </c>
      <c r="AK24" s="2" t="s">
        <v>0</v>
      </c>
      <c r="AL24" s="2" t="s">
        <v>0</v>
      </c>
      <c r="AM24" s="2" t="s">
        <v>0</v>
      </c>
      <c r="AN24" s="2" t="s">
        <v>0</v>
      </c>
      <c r="AO24" s="2" t="s">
        <v>0</v>
      </c>
      <c r="AP24" s="2" t="s">
        <v>0</v>
      </c>
      <c r="AQ24" s="2" t="s">
        <v>0</v>
      </c>
      <c r="AR24" s="2" t="s">
        <v>0</v>
      </c>
      <c r="AS24" s="2" t="s">
        <v>0</v>
      </c>
      <c r="AT24" s="2" t="s">
        <v>0</v>
      </c>
      <c r="AU24" s="2" t="s">
        <v>0</v>
      </c>
      <c r="AV24" s="2" t="s">
        <v>0</v>
      </c>
      <c r="AW24" s="2" t="s">
        <v>0</v>
      </c>
      <c r="AX24" s="2" t="s">
        <v>0</v>
      </c>
      <c r="AY24" s="2" t="s">
        <v>0</v>
      </c>
      <c r="AZ24" s="2" t="s">
        <v>0</v>
      </c>
      <c r="BA24" s="2" t="s">
        <v>0</v>
      </c>
      <c r="BB24" s="2" t="s">
        <v>0</v>
      </c>
      <c r="BC24" s="2" t="s">
        <v>0</v>
      </c>
      <c r="BD24" s="2" t="s">
        <v>0</v>
      </c>
      <c r="BE24" s="2" t="s">
        <v>0</v>
      </c>
      <c r="BF24" s="2" t="s">
        <v>0</v>
      </c>
      <c r="BG24" s="2" t="s">
        <v>0</v>
      </c>
      <c r="BH24" s="2" t="s">
        <v>0</v>
      </c>
      <c r="BI24" s="2" t="s">
        <v>0</v>
      </c>
      <c r="BJ24" s="2" t="s">
        <v>0</v>
      </c>
      <c r="BK24" s="2" t="s">
        <v>0</v>
      </c>
      <c r="BL24" s="2" t="s">
        <v>0</v>
      </c>
    </row>
    <row r="25" spans="1:64" x14ac:dyDescent="0.25">
      <c r="A25" s="2" t="s">
        <v>0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2" t="s">
        <v>0</v>
      </c>
      <c r="BB25" s="2" t="s">
        <v>0</v>
      </c>
      <c r="BC25" s="2" t="s">
        <v>0</v>
      </c>
      <c r="BD25" s="2" t="s">
        <v>0</v>
      </c>
      <c r="BE25" s="2" t="s">
        <v>0</v>
      </c>
      <c r="BF25" s="2" t="s">
        <v>0</v>
      </c>
      <c r="BG25" s="2" t="s">
        <v>0</v>
      </c>
      <c r="BH25" s="2" t="s">
        <v>0</v>
      </c>
      <c r="BI25" s="2" t="s">
        <v>0</v>
      </c>
      <c r="BJ25" s="2" t="s">
        <v>0</v>
      </c>
      <c r="BK25" s="2" t="s">
        <v>0</v>
      </c>
      <c r="BL25" s="2" t="s">
        <v>0</v>
      </c>
    </row>
    <row r="26" spans="1:64" x14ac:dyDescent="0.25">
      <c r="D26" s="1" t="str">
        <f t="shared" ref="D26:V26" si="97">"Q" &amp; (44 - (COLUMN() - COLUMN($A$2)) * 2)</f>
        <v>Q38</v>
      </c>
      <c r="E26" s="1" t="str">
        <f t="shared" si="97"/>
        <v>Q36</v>
      </c>
      <c r="F26" s="1" t="str">
        <f t="shared" si="97"/>
        <v>Q34</v>
      </c>
      <c r="G26" s="1" t="str">
        <f t="shared" si="97"/>
        <v>Q32</v>
      </c>
      <c r="H26" s="1" t="str">
        <f t="shared" si="97"/>
        <v>Q30</v>
      </c>
      <c r="I26" s="1" t="str">
        <f t="shared" si="97"/>
        <v>Q28</v>
      </c>
      <c r="J26" s="1" t="str">
        <f t="shared" si="97"/>
        <v>Q26</v>
      </c>
      <c r="K26" s="1" t="str">
        <f t="shared" si="97"/>
        <v>Q24</v>
      </c>
      <c r="L26" s="1" t="str">
        <f t="shared" si="97"/>
        <v>Q22</v>
      </c>
      <c r="M26" s="1" t="str">
        <f t="shared" si="97"/>
        <v>Q20</v>
      </c>
      <c r="N26" s="1" t="str">
        <f t="shared" si="97"/>
        <v>Q18</v>
      </c>
      <c r="O26" s="1" t="str">
        <f t="shared" si="97"/>
        <v>Q16</v>
      </c>
      <c r="P26" s="1" t="str">
        <f t="shared" si="97"/>
        <v>Q14</v>
      </c>
      <c r="Q26" s="1" t="str">
        <f t="shared" si="97"/>
        <v>Q12</v>
      </c>
      <c r="R26" s="1" t="str">
        <f t="shared" si="97"/>
        <v>Q10</v>
      </c>
      <c r="S26" s="1" t="str">
        <f t="shared" si="97"/>
        <v>Q8</v>
      </c>
      <c r="T26" s="1" t="str">
        <f t="shared" si="97"/>
        <v>Q6</v>
      </c>
      <c r="U26" s="1" t="str">
        <f t="shared" si="97"/>
        <v>Q4</v>
      </c>
      <c r="V26" s="1" t="str">
        <f t="shared" si="97"/>
        <v>Q2</v>
      </c>
      <c r="W26" s="2" t="s">
        <v>0</v>
      </c>
      <c r="X26" s="1" t="str">
        <f t="shared" ref="X26:AR26" si="98">"Q" &amp; (99 + COLUMNS($A1:A1))</f>
        <v>Q100</v>
      </c>
      <c r="Y26" s="1" t="str">
        <f t="shared" si="98"/>
        <v>Q101</v>
      </c>
      <c r="Z26" s="1" t="str">
        <f t="shared" si="98"/>
        <v>Q102</v>
      </c>
      <c r="AA26" s="1" t="str">
        <f t="shared" si="98"/>
        <v>Q103</v>
      </c>
      <c r="AB26" s="1" t="str">
        <f t="shared" si="98"/>
        <v>Q104</v>
      </c>
      <c r="AC26" s="1" t="str">
        <f t="shared" si="98"/>
        <v>Q105</v>
      </c>
      <c r="AD26" s="1" t="str">
        <f t="shared" si="98"/>
        <v>Q106</v>
      </c>
      <c r="AE26" s="1" t="str">
        <f t="shared" si="98"/>
        <v>Q107</v>
      </c>
      <c r="AF26" s="1" t="str">
        <f t="shared" si="98"/>
        <v>Q108</v>
      </c>
      <c r="AG26" s="1" t="str">
        <f t="shared" si="98"/>
        <v>Q109</v>
      </c>
      <c r="AH26" s="1" t="str">
        <f t="shared" si="98"/>
        <v>Q110</v>
      </c>
      <c r="AI26" s="1" t="str">
        <f t="shared" si="98"/>
        <v>Q111</v>
      </c>
      <c r="AJ26" s="1" t="str">
        <f t="shared" si="98"/>
        <v>Q112</v>
      </c>
      <c r="AK26" s="1" t="str">
        <f t="shared" si="98"/>
        <v>Q113</v>
      </c>
      <c r="AL26" s="1" t="str">
        <f t="shared" si="98"/>
        <v>Q114</v>
      </c>
      <c r="AM26" s="1" t="str">
        <f t="shared" si="98"/>
        <v>Q115</v>
      </c>
      <c r="AN26" s="1" t="str">
        <f t="shared" si="98"/>
        <v>Q116</v>
      </c>
      <c r="AO26" s="1" t="str">
        <f t="shared" si="98"/>
        <v>Q117</v>
      </c>
      <c r="AP26" s="1" t="str">
        <f t="shared" si="98"/>
        <v>Q118</v>
      </c>
      <c r="AQ26" s="1" t="str">
        <f t="shared" si="98"/>
        <v>Q119</v>
      </c>
      <c r="AR26" s="1" t="str">
        <f t="shared" si="98"/>
        <v>Q120</v>
      </c>
      <c r="AS26" s="2" t="s">
        <v>0</v>
      </c>
      <c r="AT26" s="1" t="str">
        <f t="shared" ref="AT26:BL26" si="99">"Q" &amp; (1 + (COLUMNS($A25:A25) - 1) * 2)</f>
        <v>Q1</v>
      </c>
      <c r="AU26" s="1" t="str">
        <f t="shared" si="99"/>
        <v>Q3</v>
      </c>
      <c r="AV26" s="1" t="str">
        <f t="shared" si="99"/>
        <v>Q5</v>
      </c>
      <c r="AW26" s="1" t="str">
        <f t="shared" si="99"/>
        <v>Q7</v>
      </c>
      <c r="AX26" s="1" t="str">
        <f t="shared" si="99"/>
        <v>Q9</v>
      </c>
      <c r="AY26" s="1" t="str">
        <f t="shared" si="99"/>
        <v>Q11</v>
      </c>
      <c r="AZ26" s="1" t="str">
        <f t="shared" si="99"/>
        <v>Q13</v>
      </c>
      <c r="BA26" s="1" t="str">
        <f t="shared" si="99"/>
        <v>Q15</v>
      </c>
      <c r="BB26" s="1" t="str">
        <f t="shared" si="99"/>
        <v>Q17</v>
      </c>
      <c r="BC26" s="1" t="str">
        <f t="shared" si="99"/>
        <v>Q19</v>
      </c>
      <c r="BD26" s="1" t="str">
        <f t="shared" si="99"/>
        <v>Q21</v>
      </c>
      <c r="BE26" s="1" t="str">
        <f t="shared" si="99"/>
        <v>Q23</v>
      </c>
      <c r="BF26" s="1" t="str">
        <f t="shared" si="99"/>
        <v>Q25</v>
      </c>
      <c r="BG26" s="1" t="str">
        <f t="shared" si="99"/>
        <v>Q27</v>
      </c>
      <c r="BH26" s="1" t="str">
        <f t="shared" si="99"/>
        <v>Q29</v>
      </c>
      <c r="BI26" s="1" t="str">
        <f t="shared" si="99"/>
        <v>Q31</v>
      </c>
      <c r="BJ26" s="1" t="str">
        <f t="shared" si="99"/>
        <v>Q33</v>
      </c>
      <c r="BK26" s="1" t="str">
        <f t="shared" si="99"/>
        <v>Q35</v>
      </c>
      <c r="BL26" s="1" t="str">
        <f t="shared" si="99"/>
        <v>Q37</v>
      </c>
    </row>
    <row r="27" spans="1:64" x14ac:dyDescent="0.25">
      <c r="E27" s="1" t="str">
        <f t="shared" ref="E27:V27" si="100">"P" &amp; (44 - (COLUMN() - COLUMN($A$2)) * 2)</f>
        <v>P36</v>
      </c>
      <c r="F27" s="1" t="str">
        <f t="shared" si="100"/>
        <v>P34</v>
      </c>
      <c r="G27" s="1" t="str">
        <f t="shared" si="100"/>
        <v>P32</v>
      </c>
      <c r="H27" s="1" t="str">
        <f t="shared" si="100"/>
        <v>P30</v>
      </c>
      <c r="I27" s="1" t="str">
        <f t="shared" si="100"/>
        <v>P28</v>
      </c>
      <c r="J27" s="1" t="str">
        <f t="shared" si="100"/>
        <v>P26</v>
      </c>
      <c r="K27" s="1" t="str">
        <f t="shared" si="100"/>
        <v>P24</v>
      </c>
      <c r="L27" s="1" t="str">
        <f t="shared" si="100"/>
        <v>P22</v>
      </c>
      <c r="M27" s="1" t="str">
        <f t="shared" si="100"/>
        <v>P20</v>
      </c>
      <c r="N27" s="1" t="str">
        <f t="shared" si="100"/>
        <v>P18</v>
      </c>
      <c r="O27" s="1" t="str">
        <f t="shared" si="100"/>
        <v>P16</v>
      </c>
      <c r="P27" s="1" t="str">
        <f t="shared" si="100"/>
        <v>P14</v>
      </c>
      <c r="Q27" s="1" t="str">
        <f t="shared" si="100"/>
        <v>P12</v>
      </c>
      <c r="R27" s="1" t="str">
        <f t="shared" si="100"/>
        <v>P10</v>
      </c>
      <c r="S27" s="1" t="str">
        <f t="shared" si="100"/>
        <v>P8</v>
      </c>
      <c r="T27" s="1" t="str">
        <f t="shared" si="100"/>
        <v>P6</v>
      </c>
      <c r="U27" s="1" t="str">
        <f t="shared" si="100"/>
        <v>P4</v>
      </c>
      <c r="V27" s="1" t="str">
        <f t="shared" si="100"/>
        <v>P2</v>
      </c>
      <c r="W27" s="2" t="s">
        <v>0</v>
      </c>
      <c r="X27" s="1" t="str">
        <f t="shared" ref="X27:AP27" si="101">"P" &amp; (99 + COLUMNS($A2:A2))</f>
        <v>P100</v>
      </c>
      <c r="Y27" s="1" t="str">
        <f t="shared" si="101"/>
        <v>P101</v>
      </c>
      <c r="Z27" s="1" t="str">
        <f t="shared" si="101"/>
        <v>P102</v>
      </c>
      <c r="AA27" s="1" t="str">
        <f t="shared" si="101"/>
        <v>P103</v>
      </c>
      <c r="AB27" s="1" t="str">
        <f t="shared" si="101"/>
        <v>P104</v>
      </c>
      <c r="AC27" s="1" t="str">
        <f t="shared" si="101"/>
        <v>P105</v>
      </c>
      <c r="AD27" s="1" t="str">
        <f t="shared" si="101"/>
        <v>P106</v>
      </c>
      <c r="AE27" s="1" t="str">
        <f t="shared" si="101"/>
        <v>P107</v>
      </c>
      <c r="AF27" s="1" t="str">
        <f t="shared" si="101"/>
        <v>P108</v>
      </c>
      <c r="AG27" s="1" t="str">
        <f t="shared" si="101"/>
        <v>P109</v>
      </c>
      <c r="AH27" s="1" t="str">
        <f t="shared" si="101"/>
        <v>P110</v>
      </c>
      <c r="AI27" s="1" t="str">
        <f t="shared" si="101"/>
        <v>P111</v>
      </c>
      <c r="AJ27" s="1" t="str">
        <f t="shared" si="101"/>
        <v>P112</v>
      </c>
      <c r="AK27" s="1" t="str">
        <f t="shared" si="101"/>
        <v>P113</v>
      </c>
      <c r="AL27" s="1" t="str">
        <f t="shared" si="101"/>
        <v>P114</v>
      </c>
      <c r="AM27" s="1" t="str">
        <f t="shared" si="101"/>
        <v>P115</v>
      </c>
      <c r="AN27" s="1" t="str">
        <f t="shared" si="101"/>
        <v>P116</v>
      </c>
      <c r="AO27" s="1" t="str">
        <f t="shared" si="101"/>
        <v>P117</v>
      </c>
      <c r="AP27" s="1" t="str">
        <f t="shared" si="101"/>
        <v>P118</v>
      </c>
      <c r="AS27" s="2" t="s">
        <v>0</v>
      </c>
      <c r="AT27" s="1" t="str">
        <f t="shared" ref="AT27:BL27" si="102">"P" &amp; (1 + (COLUMNS($A26:A26) - 1) * 2)</f>
        <v>P1</v>
      </c>
      <c r="AU27" s="1" t="str">
        <f t="shared" si="102"/>
        <v>P3</v>
      </c>
      <c r="AV27" s="1" t="str">
        <f t="shared" si="102"/>
        <v>P5</v>
      </c>
      <c r="AW27" s="1" t="str">
        <f t="shared" si="102"/>
        <v>P7</v>
      </c>
      <c r="AX27" s="1" t="str">
        <f t="shared" si="102"/>
        <v>P9</v>
      </c>
      <c r="AY27" s="1" t="str">
        <f t="shared" si="102"/>
        <v>P11</v>
      </c>
      <c r="AZ27" s="1" t="str">
        <f t="shared" si="102"/>
        <v>P13</v>
      </c>
      <c r="BA27" s="1" t="str">
        <f t="shared" si="102"/>
        <v>P15</v>
      </c>
      <c r="BB27" s="1" t="str">
        <f t="shared" si="102"/>
        <v>P17</v>
      </c>
      <c r="BC27" s="1" t="str">
        <f t="shared" si="102"/>
        <v>P19</v>
      </c>
      <c r="BD27" s="1" t="str">
        <f t="shared" si="102"/>
        <v>P21</v>
      </c>
      <c r="BE27" s="1" t="str">
        <f t="shared" si="102"/>
        <v>P23</v>
      </c>
      <c r="BF27" s="1" t="str">
        <f t="shared" si="102"/>
        <v>P25</v>
      </c>
      <c r="BG27" s="1" t="str">
        <f t="shared" si="102"/>
        <v>P27</v>
      </c>
      <c r="BH27" s="1" t="str">
        <f t="shared" si="102"/>
        <v>P29</v>
      </c>
      <c r="BI27" s="1" t="str">
        <f t="shared" si="102"/>
        <v>P31</v>
      </c>
      <c r="BJ27" s="1" t="str">
        <f t="shared" si="102"/>
        <v>P33</v>
      </c>
      <c r="BK27" s="1" t="str">
        <f t="shared" si="102"/>
        <v>P35</v>
      </c>
      <c r="BL27" s="1" t="str">
        <f t="shared" si="102"/>
        <v>P37</v>
      </c>
    </row>
    <row r="28" spans="1:64" x14ac:dyDescent="0.25">
      <c r="E28" s="1" t="str">
        <f t="shared" ref="E28:V28" si="103">"O" &amp; (44 - (COLUMN() - COLUMN($A$2)) * 2)</f>
        <v>O36</v>
      </c>
      <c r="F28" s="1" t="str">
        <f t="shared" si="103"/>
        <v>O34</v>
      </c>
      <c r="G28" s="1" t="str">
        <f t="shared" si="103"/>
        <v>O32</v>
      </c>
      <c r="H28" s="1" t="str">
        <f t="shared" si="103"/>
        <v>O30</v>
      </c>
      <c r="I28" s="1" t="str">
        <f t="shared" si="103"/>
        <v>O28</v>
      </c>
      <c r="J28" s="1" t="str">
        <f t="shared" si="103"/>
        <v>O26</v>
      </c>
      <c r="K28" s="1" t="str">
        <f t="shared" si="103"/>
        <v>O24</v>
      </c>
      <c r="L28" s="1" t="str">
        <f t="shared" si="103"/>
        <v>O22</v>
      </c>
      <c r="M28" s="1" t="str">
        <f t="shared" si="103"/>
        <v>O20</v>
      </c>
      <c r="N28" s="1" t="str">
        <f t="shared" si="103"/>
        <v>O18</v>
      </c>
      <c r="O28" s="1" t="str">
        <f t="shared" si="103"/>
        <v>O16</v>
      </c>
      <c r="P28" s="1" t="str">
        <f t="shared" si="103"/>
        <v>O14</v>
      </c>
      <c r="Q28" s="1" t="str">
        <f t="shared" si="103"/>
        <v>O12</v>
      </c>
      <c r="R28" s="1" t="str">
        <f t="shared" si="103"/>
        <v>O10</v>
      </c>
      <c r="S28" s="1" t="str">
        <f t="shared" si="103"/>
        <v>O8</v>
      </c>
      <c r="T28" s="1" t="str">
        <f t="shared" si="103"/>
        <v>O6</v>
      </c>
      <c r="U28" s="1" t="str">
        <f t="shared" si="103"/>
        <v>O4</v>
      </c>
      <c r="V28" s="1" t="str">
        <f t="shared" si="103"/>
        <v>O2</v>
      </c>
      <c r="W28" s="2" t="s">
        <v>0</v>
      </c>
      <c r="X28" s="1" t="str">
        <f t="shared" ref="X28:AQ28" si="104">"O" &amp; (99 + COLUMNS($A3:A3))</f>
        <v>O100</v>
      </c>
      <c r="Y28" s="1" t="str">
        <f t="shared" si="104"/>
        <v>O101</v>
      </c>
      <c r="Z28" s="1" t="str">
        <f t="shared" si="104"/>
        <v>O102</v>
      </c>
      <c r="AA28" s="1" t="str">
        <f t="shared" si="104"/>
        <v>O103</v>
      </c>
      <c r="AB28" s="1" t="str">
        <f t="shared" si="104"/>
        <v>O104</v>
      </c>
      <c r="AC28" s="1" t="str">
        <f t="shared" si="104"/>
        <v>O105</v>
      </c>
      <c r="AD28" s="1" t="str">
        <f t="shared" si="104"/>
        <v>O106</v>
      </c>
      <c r="AE28" s="1" t="str">
        <f t="shared" si="104"/>
        <v>O107</v>
      </c>
      <c r="AF28" s="1" t="str">
        <f t="shared" si="104"/>
        <v>O108</v>
      </c>
      <c r="AG28" s="1" t="str">
        <f t="shared" si="104"/>
        <v>O109</v>
      </c>
      <c r="AH28" s="1" t="str">
        <f t="shared" si="104"/>
        <v>O110</v>
      </c>
      <c r="AI28" s="1" t="str">
        <f t="shared" si="104"/>
        <v>O111</v>
      </c>
      <c r="AJ28" s="1" t="str">
        <f t="shared" si="104"/>
        <v>O112</v>
      </c>
      <c r="AK28" s="1" t="str">
        <f t="shared" si="104"/>
        <v>O113</v>
      </c>
      <c r="AL28" s="1" t="str">
        <f t="shared" si="104"/>
        <v>O114</v>
      </c>
      <c r="AM28" s="1" t="str">
        <f t="shared" si="104"/>
        <v>O115</v>
      </c>
      <c r="AN28" s="1" t="str">
        <f t="shared" si="104"/>
        <v>O116</v>
      </c>
      <c r="AO28" s="1" t="str">
        <f t="shared" si="104"/>
        <v>O117</v>
      </c>
      <c r="AP28" s="1" t="str">
        <f t="shared" si="104"/>
        <v>O118</v>
      </c>
      <c r="AQ28" s="1" t="str">
        <f t="shared" si="104"/>
        <v>O119</v>
      </c>
      <c r="AS28" s="2" t="s">
        <v>0</v>
      </c>
      <c r="AT28" s="1" t="str">
        <f t="shared" ref="AT28:BL28" si="105">"O" &amp; (1 + (COLUMNS($A27:A27) - 1) * 2)</f>
        <v>O1</v>
      </c>
      <c r="AU28" s="1" t="str">
        <f t="shared" si="105"/>
        <v>O3</v>
      </c>
      <c r="AV28" s="1" t="str">
        <f t="shared" si="105"/>
        <v>O5</v>
      </c>
      <c r="AW28" s="1" t="str">
        <f t="shared" si="105"/>
        <v>O7</v>
      </c>
      <c r="AX28" s="1" t="str">
        <f t="shared" si="105"/>
        <v>O9</v>
      </c>
      <c r="AY28" s="1" t="str">
        <f t="shared" si="105"/>
        <v>O11</v>
      </c>
      <c r="AZ28" s="1" t="str">
        <f t="shared" si="105"/>
        <v>O13</v>
      </c>
      <c r="BA28" s="1" t="str">
        <f t="shared" si="105"/>
        <v>O15</v>
      </c>
      <c r="BB28" s="1" t="str">
        <f t="shared" si="105"/>
        <v>O17</v>
      </c>
      <c r="BC28" s="1" t="str">
        <f t="shared" si="105"/>
        <v>O19</v>
      </c>
      <c r="BD28" s="1" t="str">
        <f t="shared" si="105"/>
        <v>O21</v>
      </c>
      <c r="BE28" s="1" t="str">
        <f t="shared" si="105"/>
        <v>O23</v>
      </c>
      <c r="BF28" s="1" t="str">
        <f t="shared" si="105"/>
        <v>O25</v>
      </c>
      <c r="BG28" s="1" t="str">
        <f t="shared" si="105"/>
        <v>O27</v>
      </c>
      <c r="BH28" s="1" t="str">
        <f t="shared" si="105"/>
        <v>O29</v>
      </c>
      <c r="BI28" s="1" t="str">
        <f t="shared" si="105"/>
        <v>O31</v>
      </c>
      <c r="BJ28" s="1" t="str">
        <f t="shared" si="105"/>
        <v>O33</v>
      </c>
      <c r="BK28" s="1" t="str">
        <f t="shared" si="105"/>
        <v>O35</v>
      </c>
      <c r="BL28" s="1" t="str">
        <f t="shared" si="105"/>
        <v>O37</v>
      </c>
    </row>
    <row r="29" spans="1:64" x14ac:dyDescent="0.25">
      <c r="E29" s="1" t="str">
        <f t="shared" ref="E29:V29" si="106">"N" &amp; (44 - (COLUMN() - COLUMN($A$2)) * 2)</f>
        <v>N36</v>
      </c>
      <c r="F29" s="1" t="str">
        <f t="shared" si="106"/>
        <v>N34</v>
      </c>
      <c r="G29" s="1" t="str">
        <f t="shared" si="106"/>
        <v>N32</v>
      </c>
      <c r="H29" s="1" t="str">
        <f t="shared" si="106"/>
        <v>N30</v>
      </c>
      <c r="I29" s="1" t="str">
        <f t="shared" si="106"/>
        <v>N28</v>
      </c>
      <c r="J29" s="1" t="str">
        <f t="shared" si="106"/>
        <v>N26</v>
      </c>
      <c r="K29" s="1" t="str">
        <f t="shared" si="106"/>
        <v>N24</v>
      </c>
      <c r="L29" s="1" t="str">
        <f t="shared" si="106"/>
        <v>N22</v>
      </c>
      <c r="M29" s="1" t="str">
        <f t="shared" si="106"/>
        <v>N20</v>
      </c>
      <c r="N29" s="1" t="str">
        <f t="shared" si="106"/>
        <v>N18</v>
      </c>
      <c r="O29" s="1" t="str">
        <f t="shared" si="106"/>
        <v>N16</v>
      </c>
      <c r="P29" s="1" t="str">
        <f t="shared" si="106"/>
        <v>N14</v>
      </c>
      <c r="Q29" s="1" t="str">
        <f t="shared" si="106"/>
        <v>N12</v>
      </c>
      <c r="R29" s="1" t="str">
        <f t="shared" si="106"/>
        <v>N10</v>
      </c>
      <c r="S29" s="1" t="str">
        <f t="shared" si="106"/>
        <v>N8</v>
      </c>
      <c r="T29" s="1" t="str">
        <f t="shared" si="106"/>
        <v>N6</v>
      </c>
      <c r="U29" s="1" t="str">
        <f t="shared" si="106"/>
        <v>N4</v>
      </c>
      <c r="V29" s="1" t="str">
        <f t="shared" si="106"/>
        <v>N2</v>
      </c>
      <c r="W29" s="2" t="s">
        <v>0</v>
      </c>
      <c r="X29" s="1" t="str">
        <f t="shared" ref="X29:AP29" si="107">"N" &amp; (99 + COLUMNS($A4:A4))</f>
        <v>N100</v>
      </c>
      <c r="Y29" s="1" t="str">
        <f t="shared" si="107"/>
        <v>N101</v>
      </c>
      <c r="Z29" s="1" t="str">
        <f t="shared" si="107"/>
        <v>N102</v>
      </c>
      <c r="AA29" s="1" t="str">
        <f t="shared" si="107"/>
        <v>N103</v>
      </c>
      <c r="AB29" s="1" t="str">
        <f t="shared" si="107"/>
        <v>N104</v>
      </c>
      <c r="AC29" s="1" t="str">
        <f t="shared" si="107"/>
        <v>N105</v>
      </c>
      <c r="AD29" s="1" t="str">
        <f t="shared" si="107"/>
        <v>N106</v>
      </c>
      <c r="AE29" s="1" t="str">
        <f t="shared" si="107"/>
        <v>N107</v>
      </c>
      <c r="AF29" s="1" t="str">
        <f t="shared" si="107"/>
        <v>N108</v>
      </c>
      <c r="AG29" s="1" t="str">
        <f t="shared" si="107"/>
        <v>N109</v>
      </c>
      <c r="AH29" s="1" t="str">
        <f t="shared" si="107"/>
        <v>N110</v>
      </c>
      <c r="AI29" s="1" t="str">
        <f t="shared" si="107"/>
        <v>N111</v>
      </c>
      <c r="AJ29" s="1" t="str">
        <f t="shared" si="107"/>
        <v>N112</v>
      </c>
      <c r="AK29" s="1" t="str">
        <f t="shared" si="107"/>
        <v>N113</v>
      </c>
      <c r="AL29" s="1" t="str">
        <f t="shared" si="107"/>
        <v>N114</v>
      </c>
      <c r="AM29" s="1" t="str">
        <f t="shared" si="107"/>
        <v>N115</v>
      </c>
      <c r="AN29" s="1" t="str">
        <f t="shared" si="107"/>
        <v>N116</v>
      </c>
      <c r="AO29" s="1" t="str">
        <f t="shared" si="107"/>
        <v>N117</v>
      </c>
      <c r="AP29" s="1" t="str">
        <f t="shared" si="107"/>
        <v>N118</v>
      </c>
      <c r="AS29" s="2" t="s">
        <v>0</v>
      </c>
      <c r="AT29" s="1" t="str">
        <f t="shared" ref="AT29:BL29" si="108">"N" &amp; (1 + (COLUMNS($A28:A28) - 1) * 2)</f>
        <v>N1</v>
      </c>
      <c r="AU29" s="1" t="str">
        <f t="shared" si="108"/>
        <v>N3</v>
      </c>
      <c r="AV29" s="1" t="str">
        <f t="shared" si="108"/>
        <v>N5</v>
      </c>
      <c r="AW29" s="1" t="str">
        <f t="shared" si="108"/>
        <v>N7</v>
      </c>
      <c r="AX29" s="1" t="str">
        <f t="shared" si="108"/>
        <v>N9</v>
      </c>
      <c r="AY29" s="1" t="str">
        <f t="shared" si="108"/>
        <v>N11</v>
      </c>
      <c r="AZ29" s="1" t="str">
        <f t="shared" si="108"/>
        <v>N13</v>
      </c>
      <c r="BA29" s="1" t="str">
        <f t="shared" si="108"/>
        <v>N15</v>
      </c>
      <c r="BB29" s="1" t="str">
        <f t="shared" si="108"/>
        <v>N17</v>
      </c>
      <c r="BC29" s="1" t="str">
        <f t="shared" si="108"/>
        <v>N19</v>
      </c>
      <c r="BD29" s="1" t="str">
        <f t="shared" si="108"/>
        <v>N21</v>
      </c>
      <c r="BE29" s="1" t="str">
        <f t="shared" si="108"/>
        <v>N23</v>
      </c>
      <c r="BF29" s="1" t="str">
        <f t="shared" si="108"/>
        <v>N25</v>
      </c>
      <c r="BG29" s="1" t="str">
        <f t="shared" si="108"/>
        <v>N27</v>
      </c>
      <c r="BH29" s="1" t="str">
        <f t="shared" si="108"/>
        <v>N29</v>
      </c>
      <c r="BI29" s="1" t="str">
        <f t="shared" si="108"/>
        <v>N31</v>
      </c>
      <c r="BJ29" s="1" t="str">
        <f t="shared" si="108"/>
        <v>N33</v>
      </c>
      <c r="BK29" s="1" t="str">
        <f t="shared" si="108"/>
        <v>N35</v>
      </c>
      <c r="BL29" s="1" t="str">
        <f t="shared" si="108"/>
        <v>N37</v>
      </c>
    </row>
    <row r="30" spans="1:64" x14ac:dyDescent="0.25">
      <c r="E30" s="1" t="str">
        <f t="shared" ref="E30:V30" si="109">"M" &amp; (44 - (COLUMN() - COLUMN($A$2)) * 2)</f>
        <v>M36</v>
      </c>
      <c r="F30" s="1" t="str">
        <f t="shared" si="109"/>
        <v>M34</v>
      </c>
      <c r="G30" s="1" t="str">
        <f t="shared" si="109"/>
        <v>M32</v>
      </c>
      <c r="H30" s="1" t="str">
        <f t="shared" si="109"/>
        <v>M30</v>
      </c>
      <c r="I30" s="1" t="str">
        <f t="shared" si="109"/>
        <v>M28</v>
      </c>
      <c r="J30" s="1" t="str">
        <f t="shared" si="109"/>
        <v>M26</v>
      </c>
      <c r="K30" s="1" t="str">
        <f t="shared" si="109"/>
        <v>M24</v>
      </c>
      <c r="L30" s="1" t="str">
        <f t="shared" si="109"/>
        <v>M22</v>
      </c>
      <c r="M30" s="1" t="str">
        <f t="shared" si="109"/>
        <v>M20</v>
      </c>
      <c r="N30" s="1" t="str">
        <f t="shared" si="109"/>
        <v>M18</v>
      </c>
      <c r="O30" s="1" t="str">
        <f t="shared" si="109"/>
        <v>M16</v>
      </c>
      <c r="P30" s="1" t="str">
        <f t="shared" si="109"/>
        <v>M14</v>
      </c>
      <c r="Q30" s="1" t="str">
        <f t="shared" si="109"/>
        <v>M12</v>
      </c>
      <c r="R30" s="1" t="str">
        <f t="shared" si="109"/>
        <v>M10</v>
      </c>
      <c r="S30" s="1" t="str">
        <f t="shared" si="109"/>
        <v>M8</v>
      </c>
      <c r="T30" s="1" t="str">
        <f t="shared" si="109"/>
        <v>M6</v>
      </c>
      <c r="U30" s="1" t="str">
        <f t="shared" si="109"/>
        <v>M4</v>
      </c>
      <c r="V30" s="1" t="str">
        <f t="shared" si="109"/>
        <v>M2</v>
      </c>
      <c r="W30" s="2" t="s">
        <v>0</v>
      </c>
      <c r="X30" s="1" t="str">
        <f t="shared" ref="X30:AQ30" si="110">"M" &amp; (99 + COLUMNS($A5:A5))</f>
        <v>M100</v>
      </c>
      <c r="Y30" s="1" t="str">
        <f t="shared" si="110"/>
        <v>M101</v>
      </c>
      <c r="Z30" s="1" t="str">
        <f t="shared" si="110"/>
        <v>M102</v>
      </c>
      <c r="AA30" s="1" t="str">
        <f t="shared" si="110"/>
        <v>M103</v>
      </c>
      <c r="AB30" s="1" t="str">
        <f t="shared" si="110"/>
        <v>M104</v>
      </c>
      <c r="AC30" s="1" t="str">
        <f t="shared" si="110"/>
        <v>M105</v>
      </c>
      <c r="AD30" s="1" t="str">
        <f t="shared" si="110"/>
        <v>M106</v>
      </c>
      <c r="AE30" s="1" t="str">
        <f t="shared" si="110"/>
        <v>M107</v>
      </c>
      <c r="AF30" s="1" t="str">
        <f t="shared" si="110"/>
        <v>M108</v>
      </c>
      <c r="AG30" s="1" t="str">
        <f t="shared" si="110"/>
        <v>M109</v>
      </c>
      <c r="AH30" s="1" t="str">
        <f t="shared" si="110"/>
        <v>M110</v>
      </c>
      <c r="AI30" s="1" t="str">
        <f t="shared" si="110"/>
        <v>M111</v>
      </c>
      <c r="AJ30" s="1" t="str">
        <f t="shared" si="110"/>
        <v>M112</v>
      </c>
      <c r="AK30" s="1" t="str">
        <f t="shared" si="110"/>
        <v>M113</v>
      </c>
      <c r="AL30" s="1" t="str">
        <f t="shared" si="110"/>
        <v>M114</v>
      </c>
      <c r="AM30" s="1" t="str">
        <f t="shared" si="110"/>
        <v>M115</v>
      </c>
      <c r="AN30" s="1" t="str">
        <f t="shared" si="110"/>
        <v>M116</v>
      </c>
      <c r="AO30" s="1" t="str">
        <f t="shared" si="110"/>
        <v>M117</v>
      </c>
      <c r="AP30" s="1" t="str">
        <f t="shared" si="110"/>
        <v>M118</v>
      </c>
      <c r="AQ30" s="1" t="str">
        <f t="shared" si="110"/>
        <v>M119</v>
      </c>
      <c r="AS30" s="2" t="s">
        <v>0</v>
      </c>
      <c r="AT30" s="1" t="str">
        <f t="shared" ref="AT30:BL30" si="111">"M" &amp; (1 + (COLUMNS($A29:A29) - 1) * 2)</f>
        <v>M1</v>
      </c>
      <c r="AU30" s="1" t="str">
        <f t="shared" si="111"/>
        <v>M3</v>
      </c>
      <c r="AV30" s="1" t="str">
        <f t="shared" si="111"/>
        <v>M5</v>
      </c>
      <c r="AW30" s="1" t="str">
        <f t="shared" si="111"/>
        <v>M7</v>
      </c>
      <c r="AX30" s="1" t="str">
        <f t="shared" si="111"/>
        <v>M9</v>
      </c>
      <c r="AY30" s="1" t="str">
        <f t="shared" si="111"/>
        <v>M11</v>
      </c>
      <c r="AZ30" s="1" t="str">
        <f t="shared" si="111"/>
        <v>M13</v>
      </c>
      <c r="BA30" s="1" t="str">
        <f t="shared" si="111"/>
        <v>M15</v>
      </c>
      <c r="BB30" s="1" t="str">
        <f t="shared" si="111"/>
        <v>M17</v>
      </c>
      <c r="BC30" s="1" t="str">
        <f t="shared" si="111"/>
        <v>M19</v>
      </c>
      <c r="BD30" s="1" t="str">
        <f t="shared" si="111"/>
        <v>M21</v>
      </c>
      <c r="BE30" s="1" t="str">
        <f t="shared" si="111"/>
        <v>M23</v>
      </c>
      <c r="BF30" s="1" t="str">
        <f t="shared" si="111"/>
        <v>M25</v>
      </c>
      <c r="BG30" s="1" t="str">
        <f t="shared" si="111"/>
        <v>M27</v>
      </c>
      <c r="BH30" s="1" t="str">
        <f t="shared" si="111"/>
        <v>M29</v>
      </c>
      <c r="BI30" s="1" t="str">
        <f t="shared" si="111"/>
        <v>M31</v>
      </c>
      <c r="BJ30" s="1" t="str">
        <f t="shared" si="111"/>
        <v>M33</v>
      </c>
      <c r="BK30" s="1" t="str">
        <f t="shared" si="111"/>
        <v>M35</v>
      </c>
      <c r="BL30" s="1" t="str">
        <f t="shared" si="111"/>
        <v>M37</v>
      </c>
    </row>
    <row r="31" spans="1:64" x14ac:dyDescent="0.25">
      <c r="E31" s="1" t="str">
        <f t="shared" ref="E31:V31" si="112">"L" &amp; (44 - (COLUMN() - COLUMN($A$2)) * 2)</f>
        <v>L36</v>
      </c>
      <c r="F31" s="1" t="str">
        <f t="shared" si="112"/>
        <v>L34</v>
      </c>
      <c r="G31" s="1" t="str">
        <f t="shared" si="112"/>
        <v>L32</v>
      </c>
      <c r="H31" s="1" t="str">
        <f t="shared" si="112"/>
        <v>L30</v>
      </c>
      <c r="I31" s="1" t="str">
        <f t="shared" si="112"/>
        <v>L28</v>
      </c>
      <c r="J31" s="1" t="str">
        <f t="shared" si="112"/>
        <v>L26</v>
      </c>
      <c r="K31" s="1" t="str">
        <f t="shared" si="112"/>
        <v>L24</v>
      </c>
      <c r="L31" s="1" t="str">
        <f t="shared" si="112"/>
        <v>L22</v>
      </c>
      <c r="M31" s="1" t="str">
        <f t="shared" si="112"/>
        <v>L20</v>
      </c>
      <c r="N31" s="1" t="str">
        <f t="shared" si="112"/>
        <v>L18</v>
      </c>
      <c r="O31" s="1" t="str">
        <f t="shared" si="112"/>
        <v>L16</v>
      </c>
      <c r="P31" s="1" t="str">
        <f t="shared" si="112"/>
        <v>L14</v>
      </c>
      <c r="Q31" s="1" t="str">
        <f t="shared" si="112"/>
        <v>L12</v>
      </c>
      <c r="R31" s="1" t="str">
        <f t="shared" si="112"/>
        <v>L10</v>
      </c>
      <c r="S31" s="1" t="str">
        <f t="shared" si="112"/>
        <v>L8</v>
      </c>
      <c r="T31" s="1" t="str">
        <f t="shared" si="112"/>
        <v>L6</v>
      </c>
      <c r="U31" s="1" t="str">
        <f t="shared" si="112"/>
        <v>L4</v>
      </c>
      <c r="V31" s="1" t="str">
        <f t="shared" si="112"/>
        <v>L2</v>
      </c>
      <c r="W31" s="2" t="s">
        <v>0</v>
      </c>
      <c r="X31" s="1" t="str">
        <f t="shared" ref="X31:AP31" si="113">"L" &amp; (99 + COLUMNS($A6:A6))</f>
        <v>L100</v>
      </c>
      <c r="Y31" s="1" t="str">
        <f t="shared" si="113"/>
        <v>L101</v>
      </c>
      <c r="Z31" s="1" t="str">
        <f t="shared" si="113"/>
        <v>L102</v>
      </c>
      <c r="AA31" s="1" t="str">
        <f t="shared" si="113"/>
        <v>L103</v>
      </c>
      <c r="AB31" s="1" t="str">
        <f t="shared" si="113"/>
        <v>L104</v>
      </c>
      <c r="AC31" s="1" t="str">
        <f t="shared" si="113"/>
        <v>L105</v>
      </c>
      <c r="AD31" s="1" t="str">
        <f t="shared" si="113"/>
        <v>L106</v>
      </c>
      <c r="AE31" s="1" t="str">
        <f t="shared" si="113"/>
        <v>L107</v>
      </c>
      <c r="AF31" s="1" t="str">
        <f t="shared" si="113"/>
        <v>L108</v>
      </c>
      <c r="AG31" s="1" t="str">
        <f t="shared" si="113"/>
        <v>L109</v>
      </c>
      <c r="AH31" s="1" t="str">
        <f t="shared" si="113"/>
        <v>L110</v>
      </c>
      <c r="AI31" s="1" t="str">
        <f t="shared" si="113"/>
        <v>L111</v>
      </c>
      <c r="AJ31" s="1" t="str">
        <f t="shared" si="113"/>
        <v>L112</v>
      </c>
      <c r="AK31" s="1" t="str">
        <f t="shared" si="113"/>
        <v>L113</v>
      </c>
      <c r="AL31" s="1" t="str">
        <f t="shared" si="113"/>
        <v>L114</v>
      </c>
      <c r="AM31" s="1" t="str">
        <f t="shared" si="113"/>
        <v>L115</v>
      </c>
      <c r="AN31" s="1" t="str">
        <f t="shared" si="113"/>
        <v>L116</v>
      </c>
      <c r="AO31" s="1" t="str">
        <f t="shared" si="113"/>
        <v>L117</v>
      </c>
      <c r="AP31" s="1" t="str">
        <f t="shared" si="113"/>
        <v>L118</v>
      </c>
      <c r="AS31" s="2" t="s">
        <v>0</v>
      </c>
      <c r="AT31" s="1" t="str">
        <f t="shared" ref="AT31:BL31" si="114">"L" &amp; (1 + (COLUMNS($A30:A30) - 1) * 2)</f>
        <v>L1</v>
      </c>
      <c r="AU31" s="1" t="str">
        <f t="shared" si="114"/>
        <v>L3</v>
      </c>
      <c r="AV31" s="1" t="str">
        <f t="shared" si="114"/>
        <v>L5</v>
      </c>
      <c r="AW31" s="1" t="str">
        <f t="shared" si="114"/>
        <v>L7</v>
      </c>
      <c r="AX31" s="1" t="str">
        <f t="shared" si="114"/>
        <v>L9</v>
      </c>
      <c r="AY31" s="1" t="str">
        <f t="shared" si="114"/>
        <v>L11</v>
      </c>
      <c r="AZ31" s="1" t="str">
        <f t="shared" si="114"/>
        <v>L13</v>
      </c>
      <c r="BA31" s="1" t="str">
        <f t="shared" si="114"/>
        <v>L15</v>
      </c>
      <c r="BB31" s="1" t="str">
        <f t="shared" si="114"/>
        <v>L17</v>
      </c>
      <c r="BC31" s="1" t="str">
        <f t="shared" si="114"/>
        <v>L19</v>
      </c>
      <c r="BD31" s="1" t="str">
        <f t="shared" si="114"/>
        <v>L21</v>
      </c>
      <c r="BE31" s="1" t="str">
        <f t="shared" si="114"/>
        <v>L23</v>
      </c>
      <c r="BF31" s="1" t="str">
        <f t="shared" si="114"/>
        <v>L25</v>
      </c>
      <c r="BG31" s="1" t="str">
        <f t="shared" si="114"/>
        <v>L27</v>
      </c>
      <c r="BH31" s="1" t="str">
        <f t="shared" si="114"/>
        <v>L29</v>
      </c>
      <c r="BI31" s="1" t="str">
        <f t="shared" si="114"/>
        <v>L31</v>
      </c>
      <c r="BJ31" s="1" t="str">
        <f t="shared" si="114"/>
        <v>L33</v>
      </c>
      <c r="BK31" s="1" t="str">
        <f t="shared" si="114"/>
        <v>L35</v>
      </c>
      <c r="BL31" s="1" t="str">
        <f t="shared" si="114"/>
        <v>L37</v>
      </c>
    </row>
    <row r="32" spans="1:64" x14ac:dyDescent="0.25">
      <c r="F32" s="1" t="str">
        <f t="shared" ref="F32:V32" si="115">"K" &amp; (44 - (COLUMN() - COLUMN($A$2)) * 2)</f>
        <v>K34</v>
      </c>
      <c r="G32" s="1" t="str">
        <f t="shared" si="115"/>
        <v>K32</v>
      </c>
      <c r="H32" s="1" t="str">
        <f t="shared" si="115"/>
        <v>K30</v>
      </c>
      <c r="I32" s="1" t="str">
        <f t="shared" si="115"/>
        <v>K28</v>
      </c>
      <c r="J32" s="1" t="str">
        <f t="shared" si="115"/>
        <v>K26</v>
      </c>
      <c r="K32" s="1" t="str">
        <f t="shared" si="115"/>
        <v>K24</v>
      </c>
      <c r="L32" s="1" t="str">
        <f t="shared" si="115"/>
        <v>K22</v>
      </c>
      <c r="M32" s="1" t="str">
        <f t="shared" si="115"/>
        <v>K20</v>
      </c>
      <c r="N32" s="1" t="str">
        <f t="shared" si="115"/>
        <v>K18</v>
      </c>
      <c r="O32" s="1" t="str">
        <f t="shared" si="115"/>
        <v>K16</v>
      </c>
      <c r="P32" s="1" t="str">
        <f t="shared" si="115"/>
        <v>K14</v>
      </c>
      <c r="Q32" s="1" t="str">
        <f t="shared" si="115"/>
        <v>K12</v>
      </c>
      <c r="R32" s="1" t="str">
        <f t="shared" si="115"/>
        <v>K10</v>
      </c>
      <c r="S32" s="1" t="str">
        <f t="shared" si="115"/>
        <v>K8</v>
      </c>
      <c r="T32" s="1" t="str">
        <f t="shared" si="115"/>
        <v>K6</v>
      </c>
      <c r="U32" s="1" t="str">
        <f t="shared" si="115"/>
        <v>K4</v>
      </c>
      <c r="V32" s="1" t="str">
        <f t="shared" si="115"/>
        <v>K2</v>
      </c>
      <c r="W32" s="2" t="s">
        <v>0</v>
      </c>
      <c r="X32" s="1" t="str">
        <f t="shared" ref="X32:AO32" si="116">"K" &amp; (99 + COLUMNS($A7:A7))</f>
        <v>K100</v>
      </c>
      <c r="Y32" s="1" t="str">
        <f t="shared" si="116"/>
        <v>K101</v>
      </c>
      <c r="Z32" s="1" t="str">
        <f t="shared" si="116"/>
        <v>K102</v>
      </c>
      <c r="AA32" s="1" t="str">
        <f t="shared" si="116"/>
        <v>K103</v>
      </c>
      <c r="AB32" s="1" t="str">
        <f t="shared" si="116"/>
        <v>K104</v>
      </c>
      <c r="AC32" s="1" t="str">
        <f t="shared" si="116"/>
        <v>K105</v>
      </c>
      <c r="AD32" s="1" t="str">
        <f t="shared" si="116"/>
        <v>K106</v>
      </c>
      <c r="AE32" s="1" t="str">
        <f t="shared" si="116"/>
        <v>K107</v>
      </c>
      <c r="AF32" s="1" t="str">
        <f t="shared" si="116"/>
        <v>K108</v>
      </c>
      <c r="AG32" s="1" t="str">
        <f t="shared" si="116"/>
        <v>K109</v>
      </c>
      <c r="AH32" s="1" t="str">
        <f t="shared" si="116"/>
        <v>K110</v>
      </c>
      <c r="AI32" s="1" t="str">
        <f t="shared" si="116"/>
        <v>K111</v>
      </c>
      <c r="AJ32" s="1" t="str">
        <f t="shared" si="116"/>
        <v>K112</v>
      </c>
      <c r="AK32" s="1" t="str">
        <f t="shared" si="116"/>
        <v>K113</v>
      </c>
      <c r="AL32" s="1" t="str">
        <f t="shared" si="116"/>
        <v>K114</v>
      </c>
      <c r="AM32" s="1" t="str">
        <f t="shared" si="116"/>
        <v>K115</v>
      </c>
      <c r="AN32" s="1" t="str">
        <f t="shared" si="116"/>
        <v>K116</v>
      </c>
      <c r="AO32" s="1" t="str">
        <f t="shared" si="116"/>
        <v>K117</v>
      </c>
      <c r="AS32" s="2" t="s">
        <v>0</v>
      </c>
      <c r="AT32" s="1" t="str">
        <f t="shared" ref="AT32:BL32" si="117">"K" &amp; (1 + (COLUMNS($A31:A31) - 1) * 2)</f>
        <v>K1</v>
      </c>
      <c r="AU32" s="1" t="str">
        <f t="shared" si="117"/>
        <v>K3</v>
      </c>
      <c r="AV32" s="1" t="str">
        <f t="shared" si="117"/>
        <v>K5</v>
      </c>
      <c r="AW32" s="1" t="str">
        <f t="shared" si="117"/>
        <v>K7</v>
      </c>
      <c r="AX32" s="1" t="str">
        <f t="shared" si="117"/>
        <v>K9</v>
      </c>
      <c r="AY32" s="1" t="str">
        <f t="shared" si="117"/>
        <v>K11</v>
      </c>
      <c r="AZ32" s="1" t="str">
        <f t="shared" si="117"/>
        <v>K13</v>
      </c>
      <c r="BA32" s="1" t="str">
        <f t="shared" si="117"/>
        <v>K15</v>
      </c>
      <c r="BB32" s="1" t="str">
        <f t="shared" si="117"/>
        <v>K17</v>
      </c>
      <c r="BC32" s="1" t="str">
        <f t="shared" si="117"/>
        <v>K19</v>
      </c>
      <c r="BD32" s="1" t="str">
        <f t="shared" si="117"/>
        <v>K21</v>
      </c>
      <c r="BE32" s="1" t="str">
        <f t="shared" si="117"/>
        <v>K23</v>
      </c>
      <c r="BF32" s="1" t="str">
        <f t="shared" si="117"/>
        <v>K25</v>
      </c>
      <c r="BG32" s="1" t="str">
        <f t="shared" si="117"/>
        <v>K27</v>
      </c>
      <c r="BH32" s="1" t="str">
        <f t="shared" si="117"/>
        <v>K29</v>
      </c>
      <c r="BI32" s="1" t="str">
        <f t="shared" si="117"/>
        <v>K31</v>
      </c>
      <c r="BJ32" s="1" t="str">
        <f t="shared" si="117"/>
        <v>K33</v>
      </c>
      <c r="BK32" s="1" t="str">
        <f t="shared" si="117"/>
        <v>K35</v>
      </c>
      <c r="BL32" s="1" t="str">
        <f t="shared" si="117"/>
        <v>K37</v>
      </c>
    </row>
    <row r="33" spans="8:63" x14ac:dyDescent="0.25">
      <c r="H33" s="1" t="str">
        <f t="shared" ref="H33:V33" si="118">"J" &amp; (44 - (COLUMN() - COLUMN($A$2)) * 2)</f>
        <v>J30</v>
      </c>
      <c r="I33" s="1" t="str">
        <f t="shared" si="118"/>
        <v>J28</v>
      </c>
      <c r="J33" s="1" t="str">
        <f t="shared" si="118"/>
        <v>J26</v>
      </c>
      <c r="K33" s="1" t="str">
        <f t="shared" si="118"/>
        <v>J24</v>
      </c>
      <c r="L33" s="1" t="str">
        <f t="shared" si="118"/>
        <v>J22</v>
      </c>
      <c r="M33" s="1" t="str">
        <f t="shared" si="118"/>
        <v>J20</v>
      </c>
      <c r="N33" s="1" t="str">
        <f t="shared" si="118"/>
        <v>J18</v>
      </c>
      <c r="O33" s="1" t="str">
        <f t="shared" si="118"/>
        <v>J16</v>
      </c>
      <c r="P33" s="1" t="str">
        <f t="shared" si="118"/>
        <v>J14</v>
      </c>
      <c r="Q33" s="1" t="str">
        <f t="shared" si="118"/>
        <v>J12</v>
      </c>
      <c r="R33" s="1" t="str">
        <f t="shared" si="118"/>
        <v>J10</v>
      </c>
      <c r="S33" s="1" t="str">
        <f t="shared" si="118"/>
        <v>J8</v>
      </c>
      <c r="T33" s="1" t="str">
        <f t="shared" si="118"/>
        <v>J6</v>
      </c>
      <c r="U33" s="1" t="str">
        <f t="shared" si="118"/>
        <v>J4</v>
      </c>
      <c r="V33" s="1" t="str">
        <f t="shared" si="118"/>
        <v>J2</v>
      </c>
      <c r="W33" s="2" t="s">
        <v>0</v>
      </c>
      <c r="X33" s="1" t="str">
        <f t="shared" ref="X33:AP33" si="119">"J" &amp; (99 + COLUMNS($A8:A8))</f>
        <v>J100</v>
      </c>
      <c r="Y33" s="1" t="str">
        <f t="shared" si="119"/>
        <v>J101</v>
      </c>
      <c r="Z33" s="1" t="str">
        <f t="shared" si="119"/>
        <v>J102</v>
      </c>
      <c r="AA33" s="1" t="str">
        <f t="shared" si="119"/>
        <v>J103</v>
      </c>
      <c r="AB33" s="1" t="str">
        <f t="shared" si="119"/>
        <v>J104</v>
      </c>
      <c r="AC33" s="1" t="str">
        <f t="shared" si="119"/>
        <v>J105</v>
      </c>
      <c r="AD33" s="1" t="str">
        <f t="shared" si="119"/>
        <v>J106</v>
      </c>
      <c r="AE33" s="1" t="str">
        <f t="shared" si="119"/>
        <v>J107</v>
      </c>
      <c r="AF33" s="1" t="str">
        <f t="shared" si="119"/>
        <v>J108</v>
      </c>
      <c r="AG33" s="1" t="str">
        <f t="shared" si="119"/>
        <v>J109</v>
      </c>
      <c r="AH33" s="1" t="str">
        <f t="shared" si="119"/>
        <v>J110</v>
      </c>
      <c r="AI33" s="1" t="str">
        <f t="shared" si="119"/>
        <v>J111</v>
      </c>
      <c r="AJ33" s="1" t="str">
        <f t="shared" si="119"/>
        <v>J112</v>
      </c>
      <c r="AK33" s="1" t="str">
        <f t="shared" si="119"/>
        <v>J113</v>
      </c>
      <c r="AL33" s="1" t="str">
        <f t="shared" si="119"/>
        <v>J114</v>
      </c>
      <c r="AM33" s="1" t="str">
        <f t="shared" si="119"/>
        <v>J115</v>
      </c>
      <c r="AN33" s="1" t="str">
        <f t="shared" si="119"/>
        <v>J116</v>
      </c>
      <c r="AO33" s="1" t="str">
        <f t="shared" si="119"/>
        <v>J117</v>
      </c>
      <c r="AP33" s="1" t="str">
        <f t="shared" si="119"/>
        <v>J118</v>
      </c>
      <c r="AS33" s="2" t="s">
        <v>0</v>
      </c>
      <c r="AT33" s="1" t="str">
        <f t="shared" ref="AT33:BK33" si="120">"J" &amp; (1 + (COLUMNS($A32:A32) - 1) * 2)</f>
        <v>J1</v>
      </c>
      <c r="AU33" s="1" t="str">
        <f t="shared" si="120"/>
        <v>J3</v>
      </c>
      <c r="AV33" s="1" t="str">
        <f t="shared" si="120"/>
        <v>J5</v>
      </c>
      <c r="AW33" s="1" t="str">
        <f t="shared" si="120"/>
        <v>J7</v>
      </c>
      <c r="AX33" s="1" t="str">
        <f t="shared" si="120"/>
        <v>J9</v>
      </c>
      <c r="AY33" s="1" t="str">
        <f t="shared" si="120"/>
        <v>J11</v>
      </c>
      <c r="AZ33" s="1" t="str">
        <f t="shared" si="120"/>
        <v>J13</v>
      </c>
      <c r="BA33" s="1" t="str">
        <f t="shared" si="120"/>
        <v>J15</v>
      </c>
      <c r="BB33" s="1" t="str">
        <f t="shared" si="120"/>
        <v>J17</v>
      </c>
      <c r="BC33" s="1" t="str">
        <f t="shared" si="120"/>
        <v>J19</v>
      </c>
      <c r="BD33" s="1" t="str">
        <f t="shared" si="120"/>
        <v>J21</v>
      </c>
      <c r="BE33" s="1" t="str">
        <f t="shared" si="120"/>
        <v>J23</v>
      </c>
      <c r="BF33" s="1" t="str">
        <f t="shared" si="120"/>
        <v>J25</v>
      </c>
      <c r="BG33" s="1" t="str">
        <f t="shared" si="120"/>
        <v>J27</v>
      </c>
      <c r="BH33" s="1" t="str">
        <f t="shared" si="120"/>
        <v>J29</v>
      </c>
      <c r="BI33" s="1" t="str">
        <f t="shared" si="120"/>
        <v>J31</v>
      </c>
      <c r="BJ33" s="1" t="str">
        <f t="shared" si="120"/>
        <v>J33</v>
      </c>
      <c r="BK33" s="1" t="str">
        <f t="shared" si="120"/>
        <v>J35</v>
      </c>
    </row>
    <row r="34" spans="8:63" x14ac:dyDescent="0.25">
      <c r="I34" s="1" t="str">
        <f t="shared" ref="I34:V34" si="121">"I" &amp; (44 - (COLUMN() - COLUMN($A$2)) * 2)</f>
        <v>I28</v>
      </c>
      <c r="J34" s="1" t="str">
        <f t="shared" si="121"/>
        <v>I26</v>
      </c>
      <c r="K34" s="1" t="str">
        <f t="shared" si="121"/>
        <v>I24</v>
      </c>
      <c r="L34" s="1" t="str">
        <f t="shared" si="121"/>
        <v>I22</v>
      </c>
      <c r="M34" s="1" t="str">
        <f t="shared" si="121"/>
        <v>I20</v>
      </c>
      <c r="N34" s="1" t="str">
        <f t="shared" si="121"/>
        <v>I18</v>
      </c>
      <c r="O34" s="1" t="str">
        <f t="shared" si="121"/>
        <v>I16</v>
      </c>
      <c r="P34" s="1" t="str">
        <f t="shared" si="121"/>
        <v>I14</v>
      </c>
      <c r="Q34" s="1" t="str">
        <f t="shared" si="121"/>
        <v>I12</v>
      </c>
      <c r="R34" s="1" t="str">
        <f t="shared" si="121"/>
        <v>I10</v>
      </c>
      <c r="S34" s="1" t="str">
        <f t="shared" si="121"/>
        <v>I8</v>
      </c>
      <c r="T34" s="1" t="str">
        <f t="shared" si="121"/>
        <v>I6</v>
      </c>
      <c r="U34" s="1" t="str">
        <f t="shared" si="121"/>
        <v>I4</v>
      </c>
      <c r="V34" s="1" t="str">
        <f t="shared" si="121"/>
        <v>I2</v>
      </c>
      <c r="W34" s="2" t="s">
        <v>0</v>
      </c>
      <c r="X34" s="1" t="str">
        <f t="shared" ref="X34:AO34" si="122">"I" &amp; (99 + COLUMNS($A9:A9))</f>
        <v>I100</v>
      </c>
      <c r="Y34" s="1" t="str">
        <f t="shared" si="122"/>
        <v>I101</v>
      </c>
      <c r="Z34" s="1" t="str">
        <f t="shared" si="122"/>
        <v>I102</v>
      </c>
      <c r="AA34" s="1" t="str">
        <f t="shared" si="122"/>
        <v>I103</v>
      </c>
      <c r="AB34" s="1" t="str">
        <f t="shared" si="122"/>
        <v>I104</v>
      </c>
      <c r="AC34" s="1" t="str">
        <f t="shared" si="122"/>
        <v>I105</v>
      </c>
      <c r="AD34" s="1" t="str">
        <f t="shared" si="122"/>
        <v>I106</v>
      </c>
      <c r="AE34" s="1" t="str">
        <f t="shared" si="122"/>
        <v>I107</v>
      </c>
      <c r="AF34" s="1" t="str">
        <f t="shared" si="122"/>
        <v>I108</v>
      </c>
      <c r="AG34" s="1" t="str">
        <f t="shared" si="122"/>
        <v>I109</v>
      </c>
      <c r="AH34" s="1" t="str">
        <f t="shared" si="122"/>
        <v>I110</v>
      </c>
      <c r="AI34" s="1" t="str">
        <f t="shared" si="122"/>
        <v>I111</v>
      </c>
      <c r="AJ34" s="1" t="str">
        <f t="shared" si="122"/>
        <v>I112</v>
      </c>
      <c r="AK34" s="1" t="str">
        <f t="shared" si="122"/>
        <v>I113</v>
      </c>
      <c r="AL34" s="1" t="str">
        <f t="shared" si="122"/>
        <v>I114</v>
      </c>
      <c r="AM34" s="1" t="str">
        <f t="shared" si="122"/>
        <v>I115</v>
      </c>
      <c r="AN34" s="1" t="str">
        <f t="shared" si="122"/>
        <v>I116</v>
      </c>
      <c r="AO34" s="1" t="str">
        <f t="shared" si="122"/>
        <v>I117</v>
      </c>
      <c r="AS34" s="2" t="s">
        <v>0</v>
      </c>
      <c r="AT34" s="1" t="str">
        <f t="shared" ref="AT34:BI34" si="123">"I" &amp; (1 + (COLUMNS($A33:A33) - 1) * 2)</f>
        <v>I1</v>
      </c>
      <c r="AU34" s="1" t="str">
        <f t="shared" si="123"/>
        <v>I3</v>
      </c>
      <c r="AV34" s="1" t="str">
        <f t="shared" si="123"/>
        <v>I5</v>
      </c>
      <c r="AW34" s="1" t="str">
        <f t="shared" si="123"/>
        <v>I7</v>
      </c>
      <c r="AX34" s="1" t="str">
        <f t="shared" si="123"/>
        <v>I9</v>
      </c>
      <c r="AY34" s="1" t="str">
        <f t="shared" si="123"/>
        <v>I11</v>
      </c>
      <c r="AZ34" s="1" t="str">
        <f t="shared" si="123"/>
        <v>I13</v>
      </c>
      <c r="BA34" s="1" t="str">
        <f t="shared" si="123"/>
        <v>I15</v>
      </c>
      <c r="BB34" s="1" t="str">
        <f t="shared" si="123"/>
        <v>I17</v>
      </c>
      <c r="BC34" s="1" t="str">
        <f t="shared" si="123"/>
        <v>I19</v>
      </c>
      <c r="BD34" s="1" t="str">
        <f t="shared" si="123"/>
        <v>I21</v>
      </c>
      <c r="BE34" s="1" t="str">
        <f t="shared" si="123"/>
        <v>I23</v>
      </c>
      <c r="BF34" s="1" t="str">
        <f t="shared" si="123"/>
        <v>I25</v>
      </c>
      <c r="BG34" s="1" t="str">
        <f t="shared" si="123"/>
        <v>I27</v>
      </c>
      <c r="BH34" s="1" t="str">
        <f t="shared" si="123"/>
        <v>I29</v>
      </c>
      <c r="BI34" s="1" t="str">
        <f t="shared" si="123"/>
        <v>I31</v>
      </c>
    </row>
    <row r="35" spans="8:63" x14ac:dyDescent="0.25">
      <c r="K35" s="1" t="str">
        <f t="shared" ref="K35:V35" si="124">"H" &amp; (44 - (COLUMN() - COLUMN($A$2)) * 2)</f>
        <v>H24</v>
      </c>
      <c r="L35" s="1" t="str">
        <f t="shared" si="124"/>
        <v>H22</v>
      </c>
      <c r="M35" s="1" t="str">
        <f t="shared" si="124"/>
        <v>H20</v>
      </c>
      <c r="N35" s="1" t="str">
        <f t="shared" si="124"/>
        <v>H18</v>
      </c>
      <c r="O35" s="1" t="str">
        <f t="shared" si="124"/>
        <v>H16</v>
      </c>
      <c r="P35" s="1" t="str">
        <f t="shared" si="124"/>
        <v>H14</v>
      </c>
      <c r="Q35" s="1" t="str">
        <f t="shared" si="124"/>
        <v>H12</v>
      </c>
      <c r="R35" s="1" t="str">
        <f t="shared" si="124"/>
        <v>H10</v>
      </c>
      <c r="S35" s="1" t="str">
        <f t="shared" si="124"/>
        <v>H8</v>
      </c>
      <c r="T35" s="1" t="str">
        <f t="shared" si="124"/>
        <v>H6</v>
      </c>
      <c r="U35" s="1" t="str">
        <f t="shared" si="124"/>
        <v>H4</v>
      </c>
      <c r="V35" s="1" t="str">
        <f t="shared" si="124"/>
        <v>H2</v>
      </c>
      <c r="W35" s="2" t="s">
        <v>0</v>
      </c>
      <c r="X35" s="1" t="str">
        <f t="shared" ref="X35:AN35" si="125">"H" &amp; (99 + COLUMNS($A10:A10))</f>
        <v>H100</v>
      </c>
      <c r="Y35" s="1" t="str">
        <f t="shared" si="125"/>
        <v>H101</v>
      </c>
      <c r="Z35" s="1" t="str">
        <f t="shared" si="125"/>
        <v>H102</v>
      </c>
      <c r="AA35" s="1" t="str">
        <f t="shared" si="125"/>
        <v>H103</v>
      </c>
      <c r="AB35" s="1" t="str">
        <f t="shared" si="125"/>
        <v>H104</v>
      </c>
      <c r="AC35" s="1" t="str">
        <f t="shared" si="125"/>
        <v>H105</v>
      </c>
      <c r="AD35" s="1" t="str">
        <f t="shared" si="125"/>
        <v>H106</v>
      </c>
      <c r="AE35" s="1" t="str">
        <f t="shared" si="125"/>
        <v>H107</v>
      </c>
      <c r="AF35" s="1" t="str">
        <f t="shared" si="125"/>
        <v>H108</v>
      </c>
      <c r="AG35" s="1" t="str">
        <f t="shared" si="125"/>
        <v>H109</v>
      </c>
      <c r="AH35" s="1" t="str">
        <f t="shared" si="125"/>
        <v>H110</v>
      </c>
      <c r="AI35" s="1" t="str">
        <f t="shared" si="125"/>
        <v>H111</v>
      </c>
      <c r="AJ35" s="1" t="str">
        <f t="shared" si="125"/>
        <v>H112</v>
      </c>
      <c r="AK35" s="1" t="str">
        <f t="shared" si="125"/>
        <v>H113</v>
      </c>
      <c r="AL35" s="1" t="str">
        <f t="shared" si="125"/>
        <v>H114</v>
      </c>
      <c r="AM35" s="1" t="str">
        <f t="shared" si="125"/>
        <v>H115</v>
      </c>
      <c r="AN35" s="1" t="str">
        <f t="shared" si="125"/>
        <v>H116</v>
      </c>
      <c r="AS35" s="2" t="s">
        <v>0</v>
      </c>
      <c r="AT35" s="1" t="str">
        <f t="shared" ref="AT35:BH35" si="126">"H" &amp; (1 + (COLUMNS($A34:A34) - 1) * 2)</f>
        <v>H1</v>
      </c>
      <c r="AU35" s="1" t="str">
        <f t="shared" si="126"/>
        <v>H3</v>
      </c>
      <c r="AV35" s="1" t="str">
        <f t="shared" si="126"/>
        <v>H5</v>
      </c>
      <c r="AW35" s="1" t="str">
        <f t="shared" si="126"/>
        <v>H7</v>
      </c>
      <c r="AX35" s="1" t="str">
        <f t="shared" si="126"/>
        <v>H9</v>
      </c>
      <c r="AY35" s="1" t="str">
        <f t="shared" si="126"/>
        <v>H11</v>
      </c>
      <c r="AZ35" s="1" t="str">
        <f t="shared" si="126"/>
        <v>H13</v>
      </c>
      <c r="BA35" s="1" t="str">
        <f t="shared" si="126"/>
        <v>H15</v>
      </c>
      <c r="BB35" s="1" t="str">
        <f t="shared" si="126"/>
        <v>H17</v>
      </c>
      <c r="BC35" s="1" t="str">
        <f t="shared" si="126"/>
        <v>H19</v>
      </c>
      <c r="BD35" s="1" t="str">
        <f t="shared" si="126"/>
        <v>H21</v>
      </c>
      <c r="BE35" s="1" t="str">
        <f t="shared" si="126"/>
        <v>H23</v>
      </c>
      <c r="BF35" s="1" t="str">
        <f t="shared" si="126"/>
        <v>H25</v>
      </c>
      <c r="BG35" s="1" t="str">
        <f t="shared" si="126"/>
        <v>H27</v>
      </c>
      <c r="BH35" s="1" t="str">
        <f t="shared" si="126"/>
        <v>H29</v>
      </c>
    </row>
    <row r="36" spans="8:63" x14ac:dyDescent="0.25">
      <c r="L36" s="1" t="str">
        <f t="shared" ref="L36:V36" si="127">"G" &amp; (44 - (COLUMN() - COLUMN($A$2)) * 2)</f>
        <v>G22</v>
      </c>
      <c r="M36" s="1" t="str">
        <f t="shared" si="127"/>
        <v>G20</v>
      </c>
      <c r="N36" s="1" t="str">
        <f t="shared" si="127"/>
        <v>G18</v>
      </c>
      <c r="O36" s="1" t="str">
        <f t="shared" si="127"/>
        <v>G16</v>
      </c>
      <c r="P36" s="1" t="str">
        <f t="shared" si="127"/>
        <v>G14</v>
      </c>
      <c r="Q36" s="1" t="str">
        <f t="shared" si="127"/>
        <v>G12</v>
      </c>
      <c r="R36" s="1" t="str">
        <f t="shared" si="127"/>
        <v>G10</v>
      </c>
      <c r="S36" s="1" t="str">
        <f t="shared" si="127"/>
        <v>G8</v>
      </c>
      <c r="T36" s="1" t="str">
        <f t="shared" si="127"/>
        <v>G6</v>
      </c>
      <c r="U36" s="1" t="str">
        <f t="shared" si="127"/>
        <v>G4</v>
      </c>
      <c r="V36" s="1" t="str">
        <f t="shared" si="127"/>
        <v>G2</v>
      </c>
      <c r="W36" s="2" t="s">
        <v>0</v>
      </c>
      <c r="X36" s="1" t="str">
        <f t="shared" ref="X36:AO36" si="128">"G" &amp; (99 + COLUMNS($A11:A11))</f>
        <v>G100</v>
      </c>
      <c r="Y36" s="1" t="str">
        <f t="shared" si="128"/>
        <v>G101</v>
      </c>
      <c r="Z36" s="1" t="str">
        <f t="shared" si="128"/>
        <v>G102</v>
      </c>
      <c r="AA36" s="1" t="str">
        <f t="shared" si="128"/>
        <v>G103</v>
      </c>
      <c r="AB36" s="1" t="str">
        <f t="shared" si="128"/>
        <v>G104</v>
      </c>
      <c r="AC36" s="1" t="str">
        <f t="shared" si="128"/>
        <v>G105</v>
      </c>
      <c r="AD36" s="1" t="str">
        <f t="shared" si="128"/>
        <v>G106</v>
      </c>
      <c r="AE36" s="1" t="str">
        <f t="shared" si="128"/>
        <v>G107</v>
      </c>
      <c r="AF36" s="1" t="str">
        <f t="shared" si="128"/>
        <v>G108</v>
      </c>
      <c r="AG36" s="1" t="str">
        <f t="shared" si="128"/>
        <v>G109</v>
      </c>
      <c r="AH36" s="1" t="str">
        <f t="shared" si="128"/>
        <v>G110</v>
      </c>
      <c r="AI36" s="1" t="str">
        <f t="shared" si="128"/>
        <v>G111</v>
      </c>
      <c r="AJ36" s="1" t="str">
        <f t="shared" si="128"/>
        <v>G112</v>
      </c>
      <c r="AK36" s="1" t="str">
        <f t="shared" si="128"/>
        <v>G113</v>
      </c>
      <c r="AL36" s="1" t="str">
        <f t="shared" si="128"/>
        <v>G114</v>
      </c>
      <c r="AM36" s="1" t="str">
        <f t="shared" si="128"/>
        <v>G115</v>
      </c>
      <c r="AN36" s="1" t="str">
        <f t="shared" si="128"/>
        <v>G116</v>
      </c>
      <c r="AO36" s="1" t="str">
        <f t="shared" si="128"/>
        <v>G117</v>
      </c>
      <c r="AS36" s="2" t="s">
        <v>0</v>
      </c>
      <c r="AT36" s="1" t="str">
        <f t="shared" ref="AT36:BF36" si="129">"G" &amp; (1 + (COLUMNS($A35:A35) - 1) * 2)</f>
        <v>G1</v>
      </c>
      <c r="AU36" s="1" t="str">
        <f t="shared" si="129"/>
        <v>G3</v>
      </c>
      <c r="AV36" s="1" t="str">
        <f t="shared" si="129"/>
        <v>G5</v>
      </c>
      <c r="AW36" s="1" t="str">
        <f t="shared" si="129"/>
        <v>G7</v>
      </c>
      <c r="AX36" s="1" t="str">
        <f t="shared" si="129"/>
        <v>G9</v>
      </c>
      <c r="AY36" s="1" t="str">
        <f t="shared" si="129"/>
        <v>G11</v>
      </c>
      <c r="AZ36" s="1" t="str">
        <f t="shared" si="129"/>
        <v>G13</v>
      </c>
      <c r="BA36" s="1" t="str">
        <f t="shared" si="129"/>
        <v>G15</v>
      </c>
      <c r="BB36" s="1" t="str">
        <f t="shared" si="129"/>
        <v>G17</v>
      </c>
      <c r="BC36" s="1" t="str">
        <f t="shared" si="129"/>
        <v>G19</v>
      </c>
      <c r="BD36" s="1" t="str">
        <f t="shared" si="129"/>
        <v>G21</v>
      </c>
      <c r="BE36" s="1" t="str">
        <f t="shared" si="129"/>
        <v>G23</v>
      </c>
      <c r="BF36" s="1" t="str">
        <f t="shared" si="129"/>
        <v>G25</v>
      </c>
    </row>
    <row r="37" spans="8:63" x14ac:dyDescent="0.25">
      <c r="M37" s="1" t="str">
        <f t="shared" ref="M37:V37" si="130">"F" &amp; (44 - (COLUMN() - COLUMN($A$2)) * 2)</f>
        <v>F20</v>
      </c>
      <c r="N37" s="1" t="str">
        <f t="shared" si="130"/>
        <v>F18</v>
      </c>
      <c r="O37" s="1" t="str">
        <f t="shared" si="130"/>
        <v>F16</v>
      </c>
      <c r="P37" s="1" t="str">
        <f t="shared" si="130"/>
        <v>F14</v>
      </c>
      <c r="Q37" s="1" t="str">
        <f t="shared" si="130"/>
        <v>F12</v>
      </c>
      <c r="R37" s="1" t="str">
        <f t="shared" si="130"/>
        <v>F10</v>
      </c>
      <c r="S37" s="1" t="str">
        <f t="shared" si="130"/>
        <v>F8</v>
      </c>
      <c r="T37" s="1" t="str">
        <f t="shared" si="130"/>
        <v>F6</v>
      </c>
      <c r="U37" s="1" t="str">
        <f t="shared" si="130"/>
        <v>F4</v>
      </c>
      <c r="V37" s="1" t="str">
        <f t="shared" si="130"/>
        <v>F2</v>
      </c>
      <c r="W37" s="2" t="s">
        <v>0</v>
      </c>
      <c r="X37" s="1" t="str">
        <f t="shared" ref="X37:AN37" si="131">"F" &amp; (99 + COLUMNS($A12:A12))</f>
        <v>F100</v>
      </c>
      <c r="Y37" s="1" t="str">
        <f t="shared" si="131"/>
        <v>F101</v>
      </c>
      <c r="Z37" s="1" t="str">
        <f t="shared" si="131"/>
        <v>F102</v>
      </c>
      <c r="AA37" s="1" t="str">
        <f t="shared" si="131"/>
        <v>F103</v>
      </c>
      <c r="AB37" s="1" t="str">
        <f t="shared" si="131"/>
        <v>F104</v>
      </c>
      <c r="AC37" s="1" t="str">
        <f t="shared" si="131"/>
        <v>F105</v>
      </c>
      <c r="AD37" s="1" t="str">
        <f t="shared" si="131"/>
        <v>F106</v>
      </c>
      <c r="AE37" s="1" t="str">
        <f t="shared" si="131"/>
        <v>F107</v>
      </c>
      <c r="AF37" s="1" t="str">
        <f t="shared" si="131"/>
        <v>F108</v>
      </c>
      <c r="AG37" s="1" t="str">
        <f t="shared" si="131"/>
        <v>F109</v>
      </c>
      <c r="AH37" s="1" t="str">
        <f t="shared" si="131"/>
        <v>F110</v>
      </c>
      <c r="AI37" s="1" t="str">
        <f t="shared" si="131"/>
        <v>F111</v>
      </c>
      <c r="AJ37" s="1" t="str">
        <f t="shared" si="131"/>
        <v>F112</v>
      </c>
      <c r="AK37" s="1" t="str">
        <f t="shared" si="131"/>
        <v>F113</v>
      </c>
      <c r="AL37" s="1" t="str">
        <f t="shared" si="131"/>
        <v>F114</v>
      </c>
      <c r="AM37" s="1" t="str">
        <f t="shared" si="131"/>
        <v>F115</v>
      </c>
      <c r="AN37" s="1" t="str">
        <f t="shared" si="131"/>
        <v>F116</v>
      </c>
      <c r="AS37" s="2" t="s">
        <v>0</v>
      </c>
      <c r="AT37" s="1" t="str">
        <f t="shared" ref="AT37:BE37" si="132">"F" &amp; (1 + (COLUMNS($A36:A36) - 1) * 2)</f>
        <v>F1</v>
      </c>
      <c r="AU37" s="1" t="str">
        <f t="shared" si="132"/>
        <v>F3</v>
      </c>
      <c r="AV37" s="1" t="str">
        <f t="shared" si="132"/>
        <v>F5</v>
      </c>
      <c r="AW37" s="1" t="str">
        <f t="shared" si="132"/>
        <v>F7</v>
      </c>
      <c r="AX37" s="1" t="str">
        <f t="shared" si="132"/>
        <v>F9</v>
      </c>
      <c r="AY37" s="1" t="str">
        <f t="shared" si="132"/>
        <v>F11</v>
      </c>
      <c r="AZ37" s="1" t="str">
        <f t="shared" si="132"/>
        <v>F13</v>
      </c>
      <c r="BA37" s="1" t="str">
        <f t="shared" si="132"/>
        <v>F15</v>
      </c>
      <c r="BB37" s="1" t="str">
        <f t="shared" si="132"/>
        <v>F17</v>
      </c>
      <c r="BC37" s="1" t="str">
        <f t="shared" si="132"/>
        <v>F19</v>
      </c>
      <c r="BD37" s="1" t="str">
        <f t="shared" si="132"/>
        <v>F21</v>
      </c>
      <c r="BE37" s="1" t="str">
        <f t="shared" si="132"/>
        <v>F23</v>
      </c>
    </row>
    <row r="38" spans="8:63" x14ac:dyDescent="0.25">
      <c r="N38" s="1" t="str">
        <f t="shared" ref="N38:V38" si="133">"E" &amp; (44 - (COLUMN() - COLUMN($A$2)) * 2)</f>
        <v>E18</v>
      </c>
      <c r="O38" s="1" t="str">
        <f t="shared" si="133"/>
        <v>E16</v>
      </c>
      <c r="P38" s="1" t="str">
        <f t="shared" si="133"/>
        <v>E14</v>
      </c>
      <c r="Q38" s="1" t="str">
        <f t="shared" si="133"/>
        <v>E12</v>
      </c>
      <c r="R38" s="1" t="str">
        <f t="shared" si="133"/>
        <v>E10</v>
      </c>
      <c r="S38" s="1" t="str">
        <f t="shared" si="133"/>
        <v>E8</v>
      </c>
      <c r="T38" s="1" t="str">
        <f t="shared" si="133"/>
        <v>E6</v>
      </c>
      <c r="U38" s="1" t="str">
        <f t="shared" si="133"/>
        <v>E4</v>
      </c>
      <c r="V38" s="1" t="str">
        <f t="shared" si="133"/>
        <v>E2</v>
      </c>
      <c r="W38" s="2" t="s">
        <v>0</v>
      </c>
      <c r="X38" s="1" t="str">
        <f t="shared" ref="X38:AM38" si="134">"E" &amp; (99 + COLUMNS($A13:A13))</f>
        <v>E100</v>
      </c>
      <c r="Y38" s="1" t="str">
        <f t="shared" si="134"/>
        <v>E101</v>
      </c>
      <c r="Z38" s="1" t="str">
        <f t="shared" si="134"/>
        <v>E102</v>
      </c>
      <c r="AA38" s="1" t="str">
        <f t="shared" si="134"/>
        <v>E103</v>
      </c>
      <c r="AB38" s="1" t="str">
        <f t="shared" si="134"/>
        <v>E104</v>
      </c>
      <c r="AC38" s="1" t="str">
        <f t="shared" si="134"/>
        <v>E105</v>
      </c>
      <c r="AD38" s="1" t="str">
        <f t="shared" si="134"/>
        <v>E106</v>
      </c>
      <c r="AE38" s="1" t="str">
        <f t="shared" si="134"/>
        <v>E107</v>
      </c>
      <c r="AF38" s="1" t="str">
        <f t="shared" si="134"/>
        <v>E108</v>
      </c>
      <c r="AG38" s="1" t="str">
        <f t="shared" si="134"/>
        <v>E109</v>
      </c>
      <c r="AH38" s="1" t="str">
        <f t="shared" si="134"/>
        <v>E110</v>
      </c>
      <c r="AI38" s="1" t="str">
        <f t="shared" si="134"/>
        <v>E111</v>
      </c>
      <c r="AJ38" s="1" t="str">
        <f t="shared" si="134"/>
        <v>E112</v>
      </c>
      <c r="AK38" s="1" t="str">
        <f t="shared" si="134"/>
        <v>E113</v>
      </c>
      <c r="AL38" s="1" t="str">
        <f t="shared" si="134"/>
        <v>E114</v>
      </c>
      <c r="AM38" s="1" t="str">
        <f t="shared" si="134"/>
        <v>E115</v>
      </c>
      <c r="AS38" s="2" t="s">
        <v>0</v>
      </c>
      <c r="AT38" s="1" t="str">
        <f t="shared" ref="AT38:BC38" si="135">"E" &amp; (1 + (COLUMNS($A37:A37) - 1) * 2)</f>
        <v>E1</v>
      </c>
      <c r="AU38" s="1" t="str">
        <f t="shared" si="135"/>
        <v>E3</v>
      </c>
      <c r="AV38" s="1" t="str">
        <f t="shared" si="135"/>
        <v>E5</v>
      </c>
      <c r="AW38" s="1" t="str">
        <f t="shared" si="135"/>
        <v>E7</v>
      </c>
      <c r="AX38" s="1" t="str">
        <f t="shared" si="135"/>
        <v>E9</v>
      </c>
      <c r="AY38" s="1" t="str">
        <f t="shared" si="135"/>
        <v>E11</v>
      </c>
      <c r="AZ38" s="1" t="str">
        <f t="shared" si="135"/>
        <v>E13</v>
      </c>
      <c r="BA38" s="1" t="str">
        <f t="shared" si="135"/>
        <v>E15</v>
      </c>
      <c r="BB38" s="1" t="str">
        <f t="shared" si="135"/>
        <v>E17</v>
      </c>
      <c r="BC38" s="1" t="str">
        <f t="shared" si="135"/>
        <v>E19</v>
      </c>
    </row>
    <row r="39" spans="8:63" x14ac:dyDescent="0.25">
      <c r="P39" s="1" t="str">
        <f t="shared" ref="P39:V39" si="136">"D" &amp; (44 - (COLUMN() - COLUMN($A$2)) * 2)</f>
        <v>D14</v>
      </c>
      <c r="Q39" s="1" t="str">
        <f t="shared" si="136"/>
        <v>D12</v>
      </c>
      <c r="R39" s="1" t="str">
        <f t="shared" si="136"/>
        <v>D10</v>
      </c>
      <c r="S39" s="1" t="str">
        <f t="shared" si="136"/>
        <v>D8</v>
      </c>
      <c r="T39" s="1" t="str">
        <f t="shared" si="136"/>
        <v>D6</v>
      </c>
      <c r="U39" s="1" t="str">
        <f t="shared" si="136"/>
        <v>D4</v>
      </c>
      <c r="V39" s="1" t="str">
        <f t="shared" si="136"/>
        <v>D2</v>
      </c>
      <c r="W39" s="2" t="s">
        <v>0</v>
      </c>
      <c r="X39" s="1" t="str">
        <f t="shared" ref="X39:AN39" si="137">"D" &amp; (99 + COLUMNS($A14:A14))</f>
        <v>D100</v>
      </c>
      <c r="Y39" s="1" t="str">
        <f t="shared" si="137"/>
        <v>D101</v>
      </c>
      <c r="Z39" s="1" t="str">
        <f t="shared" si="137"/>
        <v>D102</v>
      </c>
      <c r="AA39" s="1" t="str">
        <f t="shared" si="137"/>
        <v>D103</v>
      </c>
      <c r="AB39" s="1" t="str">
        <f t="shared" si="137"/>
        <v>D104</v>
      </c>
      <c r="AC39" s="1" t="str">
        <f t="shared" si="137"/>
        <v>D105</v>
      </c>
      <c r="AD39" s="1" t="str">
        <f t="shared" si="137"/>
        <v>D106</v>
      </c>
      <c r="AE39" s="1" t="str">
        <f t="shared" si="137"/>
        <v>D107</v>
      </c>
      <c r="AF39" s="1" t="str">
        <f t="shared" si="137"/>
        <v>D108</v>
      </c>
      <c r="AG39" s="1" t="str">
        <f t="shared" si="137"/>
        <v>D109</v>
      </c>
      <c r="AH39" s="1" t="str">
        <f t="shared" si="137"/>
        <v>D110</v>
      </c>
      <c r="AI39" s="1" t="str">
        <f t="shared" si="137"/>
        <v>D111</v>
      </c>
      <c r="AJ39" s="1" t="str">
        <f t="shared" si="137"/>
        <v>D112</v>
      </c>
      <c r="AK39" s="1" t="str">
        <f t="shared" si="137"/>
        <v>D113</v>
      </c>
      <c r="AL39" s="1" t="str">
        <f t="shared" si="137"/>
        <v>D114</v>
      </c>
      <c r="AM39" s="1" t="str">
        <f t="shared" si="137"/>
        <v>D115</v>
      </c>
      <c r="AN39" s="1" t="str">
        <f t="shared" si="137"/>
        <v>D116</v>
      </c>
      <c r="AS39" s="2" t="s">
        <v>0</v>
      </c>
      <c r="AT39" s="1" t="str">
        <f t="shared" ref="AT39:BB39" si="138">"D" &amp; (1 + (COLUMNS($A38:A38) - 1) * 2)</f>
        <v>D1</v>
      </c>
      <c r="AU39" s="1" t="str">
        <f t="shared" si="138"/>
        <v>D3</v>
      </c>
      <c r="AV39" s="1" t="str">
        <f t="shared" si="138"/>
        <v>D5</v>
      </c>
      <c r="AW39" s="1" t="str">
        <f t="shared" si="138"/>
        <v>D7</v>
      </c>
      <c r="AX39" s="1" t="str">
        <f t="shared" si="138"/>
        <v>D9</v>
      </c>
      <c r="AY39" s="1" t="str">
        <f t="shared" si="138"/>
        <v>D11</v>
      </c>
      <c r="AZ39" s="1" t="str">
        <f t="shared" si="138"/>
        <v>D13</v>
      </c>
      <c r="BA39" s="1" t="str">
        <f t="shared" si="138"/>
        <v>D15</v>
      </c>
      <c r="BB39" s="1" t="str">
        <f t="shared" si="138"/>
        <v>D17</v>
      </c>
    </row>
    <row r="40" spans="8:63" x14ac:dyDescent="0.25">
      <c r="Q40" s="1" t="str">
        <f t="shared" ref="Q40:V40" si="139">"C" &amp; (44 - (COLUMN() - COLUMN($A$2)) * 2)</f>
        <v>C12</v>
      </c>
      <c r="R40" s="1" t="str">
        <f t="shared" si="139"/>
        <v>C10</v>
      </c>
      <c r="S40" s="1" t="str">
        <f t="shared" si="139"/>
        <v>C8</v>
      </c>
      <c r="T40" s="1" t="str">
        <f t="shared" si="139"/>
        <v>C6</v>
      </c>
      <c r="U40" s="1" t="str">
        <f t="shared" si="139"/>
        <v>C4</v>
      </c>
      <c r="V40" s="1" t="str">
        <f t="shared" si="139"/>
        <v>C2</v>
      </c>
      <c r="W40" s="2" t="s">
        <v>0</v>
      </c>
      <c r="X40" s="1" t="str">
        <f t="shared" ref="X40:AM40" si="140">"C" &amp; (99 + COLUMNS($A15:A15))</f>
        <v>C100</v>
      </c>
      <c r="Y40" s="1" t="str">
        <f t="shared" si="140"/>
        <v>C101</v>
      </c>
      <c r="Z40" s="1" t="str">
        <f t="shared" si="140"/>
        <v>C102</v>
      </c>
      <c r="AA40" s="1" t="str">
        <f t="shared" si="140"/>
        <v>C103</v>
      </c>
      <c r="AB40" s="1" t="str">
        <f t="shared" si="140"/>
        <v>C104</v>
      </c>
      <c r="AC40" s="1" t="str">
        <f t="shared" si="140"/>
        <v>C105</v>
      </c>
      <c r="AD40" s="1" t="str">
        <f t="shared" si="140"/>
        <v>C106</v>
      </c>
      <c r="AE40" s="1" t="str">
        <f t="shared" si="140"/>
        <v>C107</v>
      </c>
      <c r="AF40" s="1" t="str">
        <f t="shared" si="140"/>
        <v>C108</v>
      </c>
      <c r="AG40" s="1" t="str">
        <f t="shared" si="140"/>
        <v>C109</v>
      </c>
      <c r="AH40" s="1" t="str">
        <f t="shared" si="140"/>
        <v>C110</v>
      </c>
      <c r="AI40" s="1" t="str">
        <f t="shared" si="140"/>
        <v>C111</v>
      </c>
      <c r="AJ40" s="1" t="str">
        <f t="shared" si="140"/>
        <v>C112</v>
      </c>
      <c r="AK40" s="1" t="str">
        <f t="shared" si="140"/>
        <v>C113</v>
      </c>
      <c r="AL40" s="1" t="str">
        <f t="shared" si="140"/>
        <v>C114</v>
      </c>
      <c r="AM40" s="1" t="str">
        <f t="shared" si="140"/>
        <v>C115</v>
      </c>
      <c r="AS40" s="2" t="s">
        <v>0</v>
      </c>
      <c r="AT40" s="1" t="str">
        <f t="shared" ref="AT40:BA40" si="141">"C" &amp; (1 + (COLUMNS($A39:A39) - 1) * 2)</f>
        <v>C1</v>
      </c>
      <c r="AU40" s="1" t="str">
        <f t="shared" si="141"/>
        <v>C3</v>
      </c>
      <c r="AV40" s="1" t="str">
        <f t="shared" si="141"/>
        <v>C5</v>
      </c>
      <c r="AW40" s="1" t="str">
        <f t="shared" si="141"/>
        <v>C7</v>
      </c>
      <c r="AX40" s="1" t="str">
        <f t="shared" si="141"/>
        <v>C9</v>
      </c>
      <c r="AY40" s="1" t="str">
        <f t="shared" si="141"/>
        <v>C11</v>
      </c>
      <c r="AZ40" s="1" t="str">
        <f t="shared" si="141"/>
        <v>C13</v>
      </c>
      <c r="BA40" s="1" t="str">
        <f t="shared" si="141"/>
        <v>C15</v>
      </c>
    </row>
    <row r="41" spans="8:63" x14ac:dyDescent="0.25">
      <c r="R41" s="1" t="str">
        <f t="shared" ref="R41:V41" si="142">"B" &amp; (44 - (COLUMN() - COLUMN($A$2)) * 2)</f>
        <v>B10</v>
      </c>
      <c r="S41" s="1" t="str">
        <f t="shared" si="142"/>
        <v>B8</v>
      </c>
      <c r="T41" s="1" t="str">
        <f t="shared" si="142"/>
        <v>B6</v>
      </c>
      <c r="U41" s="1" t="str">
        <f t="shared" si="142"/>
        <v>B4</v>
      </c>
      <c r="V41" s="1" t="str">
        <f t="shared" si="142"/>
        <v>B2</v>
      </c>
      <c r="W41" s="2" t="s">
        <v>0</v>
      </c>
      <c r="X41" s="1" t="str">
        <f t="shared" ref="X41:AL41" si="143">"B" &amp; (99 + COLUMNS($A16:A16))</f>
        <v>B100</v>
      </c>
      <c r="Y41" s="1" t="str">
        <f t="shared" si="143"/>
        <v>B101</v>
      </c>
      <c r="Z41" s="1" t="str">
        <f t="shared" si="143"/>
        <v>B102</v>
      </c>
      <c r="AA41" s="1" t="str">
        <f t="shared" si="143"/>
        <v>B103</v>
      </c>
      <c r="AB41" s="1" t="str">
        <f t="shared" si="143"/>
        <v>B104</v>
      </c>
      <c r="AC41" s="1" t="str">
        <f t="shared" si="143"/>
        <v>B105</v>
      </c>
      <c r="AD41" s="1" t="str">
        <f t="shared" si="143"/>
        <v>B106</v>
      </c>
      <c r="AE41" s="1" t="str">
        <f t="shared" si="143"/>
        <v>B107</v>
      </c>
      <c r="AF41" s="1" t="str">
        <f t="shared" si="143"/>
        <v>B108</v>
      </c>
      <c r="AG41" s="1" t="str">
        <f t="shared" si="143"/>
        <v>B109</v>
      </c>
      <c r="AH41" s="1" t="str">
        <f t="shared" si="143"/>
        <v>B110</v>
      </c>
      <c r="AI41" s="1" t="str">
        <f t="shared" si="143"/>
        <v>B111</v>
      </c>
      <c r="AJ41" s="1" t="str">
        <f t="shared" si="143"/>
        <v>B112</v>
      </c>
      <c r="AK41" s="1" t="str">
        <f t="shared" si="143"/>
        <v>B113</v>
      </c>
      <c r="AL41" s="1" t="str">
        <f t="shared" si="143"/>
        <v>B114</v>
      </c>
      <c r="AS41" s="2" t="s">
        <v>0</v>
      </c>
      <c r="AT41" s="1" t="str">
        <f t="shared" ref="AT41:AX41" si="144">"B" &amp; (1 + (COLUMNS($A40:A40) - 1) * 2)</f>
        <v>B1</v>
      </c>
      <c r="AU41" s="1" t="str">
        <f t="shared" si="144"/>
        <v>B3</v>
      </c>
      <c r="AV41" s="1" t="str">
        <f t="shared" si="144"/>
        <v>B5</v>
      </c>
      <c r="AW41" s="1" t="str">
        <f t="shared" si="144"/>
        <v>B7</v>
      </c>
      <c r="AX41" s="1" t="str">
        <f t="shared" si="144"/>
        <v>B9</v>
      </c>
    </row>
    <row r="42" spans="8:63" x14ac:dyDescent="0.25">
      <c r="S42" s="1" t="str">
        <f t="shared" ref="S42:V42" si="145">"A" &amp; (44 - (COLUMN() - COLUMN($A$2)) * 2)</f>
        <v>A8</v>
      </c>
      <c r="T42" s="1" t="str">
        <f t="shared" si="145"/>
        <v>A6</v>
      </c>
      <c r="U42" s="1" t="str">
        <f t="shared" si="145"/>
        <v>A4</v>
      </c>
      <c r="V42" s="1" t="str">
        <f t="shared" si="145"/>
        <v>A2</v>
      </c>
      <c r="W42" s="2" t="s">
        <v>0</v>
      </c>
      <c r="X42" s="1" t="str">
        <f t="shared" ref="X42:AL42" si="146">"A" &amp; (99 + COLUMNS($A17:A17))</f>
        <v>A100</v>
      </c>
      <c r="Y42" s="1" t="str">
        <f t="shared" si="146"/>
        <v>A101</v>
      </c>
      <c r="Z42" s="1" t="str">
        <f t="shared" si="146"/>
        <v>A102</v>
      </c>
      <c r="AA42" s="1" t="str">
        <f t="shared" si="146"/>
        <v>A103</v>
      </c>
      <c r="AB42" s="1" t="str">
        <f t="shared" si="146"/>
        <v>A104</v>
      </c>
      <c r="AC42" s="1" t="str">
        <f t="shared" si="146"/>
        <v>A105</v>
      </c>
      <c r="AD42" s="1" t="str">
        <f t="shared" si="146"/>
        <v>A106</v>
      </c>
      <c r="AE42" s="1" t="str">
        <f t="shared" si="146"/>
        <v>A107</v>
      </c>
      <c r="AF42" s="1" t="str">
        <f t="shared" si="146"/>
        <v>A108</v>
      </c>
      <c r="AG42" s="1" t="str">
        <f t="shared" si="146"/>
        <v>A109</v>
      </c>
      <c r="AH42" s="1" t="str">
        <f t="shared" si="146"/>
        <v>A110</v>
      </c>
      <c r="AI42" s="1" t="str">
        <f t="shared" si="146"/>
        <v>A111</v>
      </c>
      <c r="AJ42" s="1" t="str">
        <f t="shared" si="146"/>
        <v>A112</v>
      </c>
      <c r="AK42" s="1" t="str">
        <f t="shared" si="146"/>
        <v>A113</v>
      </c>
      <c r="AL42" s="1" t="str">
        <f t="shared" si="146"/>
        <v>A114</v>
      </c>
      <c r="AS42" s="2" t="s">
        <v>0</v>
      </c>
      <c r="AT42" s="1" t="str">
        <f t="shared" ref="AT42:AW42" si="147">"A" &amp; (1 + (COLUMNS($A41:A41) - 1) * 2)</f>
        <v>A1</v>
      </c>
      <c r="AU42" s="1" t="str">
        <f t="shared" si="147"/>
        <v>A3</v>
      </c>
      <c r="AV42" s="1" t="str">
        <f t="shared" si="147"/>
        <v>A5</v>
      </c>
      <c r="AW42" s="1" t="str">
        <f t="shared" si="147"/>
        <v>A7</v>
      </c>
    </row>
    <row r="43" spans="8:63" x14ac:dyDescent="0.25"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  <c r="AB43" s="2" t="s">
        <v>0</v>
      </c>
      <c r="AC43" s="2" t="s">
        <v>0</v>
      </c>
      <c r="AD43" s="2" t="s">
        <v>0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0</v>
      </c>
      <c r="AJ43" s="2" t="s">
        <v>0</v>
      </c>
      <c r="AK43" s="2" t="s">
        <v>0</v>
      </c>
      <c r="AL43" s="2" t="s">
        <v>0</v>
      </c>
      <c r="AM43" s="2" t="s">
        <v>0</v>
      </c>
      <c r="AN43" s="2" t="s">
        <v>0</v>
      </c>
      <c r="AO43" s="2" t="s">
        <v>0</v>
      </c>
      <c r="AP43" s="2" t="s">
        <v>0</v>
      </c>
      <c r="AQ43" s="2" t="s">
        <v>0</v>
      </c>
      <c r="AR43" s="2" t="s">
        <v>0</v>
      </c>
      <c r="AS43" s="2" t="s">
        <v>0</v>
      </c>
      <c r="AT43" s="2" t="s">
        <v>0</v>
      </c>
      <c r="AU43" s="2" t="s">
        <v>0</v>
      </c>
      <c r="AV43" s="2" t="s">
        <v>0</v>
      </c>
      <c r="AW43" s="2" t="s">
        <v>0</v>
      </c>
      <c r="AX43" s="2" t="s">
        <v>0</v>
      </c>
    </row>
    <row r="45" spans="8:63" x14ac:dyDescent="0.25">
      <c r="S45" s="2" t="s">
        <v>1</v>
      </c>
      <c r="T45" s="2" t="s">
        <v>1</v>
      </c>
      <c r="U45" s="2" t="s">
        <v>1</v>
      </c>
      <c r="V45" s="2" t="s">
        <v>1</v>
      </c>
      <c r="W45" s="2" t="s">
        <v>1</v>
      </c>
      <c r="X45" s="2" t="s">
        <v>1</v>
      </c>
      <c r="Y45" s="2" t="s">
        <v>1</v>
      </c>
      <c r="Z45" s="2" t="s">
        <v>1</v>
      </c>
      <c r="AA45" s="2" t="s">
        <v>1</v>
      </c>
      <c r="AB45" s="2" t="s">
        <v>1</v>
      </c>
      <c r="AC45" s="2" t="s">
        <v>1</v>
      </c>
      <c r="AD45" s="2" t="s">
        <v>1</v>
      </c>
      <c r="AE45" s="2" t="s">
        <v>1</v>
      </c>
      <c r="AF45" s="2" t="s">
        <v>1</v>
      </c>
      <c r="AG45" s="2" t="s">
        <v>1</v>
      </c>
      <c r="AH45" s="2" t="s">
        <v>1</v>
      </c>
      <c r="AI45" s="2" t="s">
        <v>1</v>
      </c>
      <c r="AJ45" s="2" t="s">
        <v>1</v>
      </c>
      <c r="AK45" s="2" t="s">
        <v>1</v>
      </c>
      <c r="AL45" s="2" t="s">
        <v>1</v>
      </c>
      <c r="AM45" s="2" t="s">
        <v>1</v>
      </c>
      <c r="AN45" s="2" t="s">
        <v>1</v>
      </c>
      <c r="AO45" s="2" t="s">
        <v>1</v>
      </c>
      <c r="AP45" s="2" t="s">
        <v>1</v>
      </c>
      <c r="AQ45" s="2" t="s">
        <v>1</v>
      </c>
      <c r="AR45" s="2" t="s">
        <v>1</v>
      </c>
      <c r="AS45" s="2" t="s">
        <v>1</v>
      </c>
      <c r="AT45" s="2" t="s">
        <v>1</v>
      </c>
      <c r="AU45" s="2" t="s">
        <v>1</v>
      </c>
    </row>
    <row r="46" spans="8:63" x14ac:dyDescent="0.25">
      <c r="S46" s="2" t="s">
        <v>1</v>
      </c>
      <c r="T46" s="2" t="s">
        <v>1</v>
      </c>
      <c r="U46" s="2" t="s">
        <v>1</v>
      </c>
      <c r="V46" s="2" t="s">
        <v>1</v>
      </c>
      <c r="W46" s="2" t="s">
        <v>1</v>
      </c>
      <c r="X46" s="2" t="s">
        <v>1</v>
      </c>
      <c r="Y46" s="2" t="s">
        <v>1</v>
      </c>
      <c r="Z46" s="2" t="s">
        <v>1</v>
      </c>
      <c r="AA46" s="2" t="s">
        <v>1</v>
      </c>
      <c r="AB46" s="2" t="s">
        <v>1</v>
      </c>
      <c r="AC46" s="2" t="s">
        <v>1</v>
      </c>
      <c r="AD46" s="2" t="s">
        <v>1</v>
      </c>
      <c r="AE46" s="2" t="s">
        <v>1</v>
      </c>
      <c r="AF46" s="2" t="s">
        <v>1</v>
      </c>
      <c r="AG46" s="2" t="s">
        <v>1</v>
      </c>
      <c r="AH46" s="2" t="s">
        <v>1</v>
      </c>
      <c r="AI46" s="2" t="s">
        <v>1</v>
      </c>
      <c r="AJ46" s="2" t="s">
        <v>1</v>
      </c>
      <c r="AK46" s="2" t="s">
        <v>1</v>
      </c>
      <c r="AL46" s="2" t="s">
        <v>1</v>
      </c>
      <c r="AM46" s="2" t="s">
        <v>1</v>
      </c>
      <c r="AN46" s="2" t="s">
        <v>1</v>
      </c>
      <c r="AO46" s="2" t="s">
        <v>1</v>
      </c>
      <c r="AP46" s="2" t="s">
        <v>1</v>
      </c>
      <c r="AQ46" s="2" t="s">
        <v>1</v>
      </c>
      <c r="AR46" s="2" t="s">
        <v>1</v>
      </c>
      <c r="AS46" s="2" t="s">
        <v>1</v>
      </c>
      <c r="AT46" s="2" t="s">
        <v>1</v>
      </c>
      <c r="AU46" s="2" t="s">
        <v>1</v>
      </c>
    </row>
    <row r="47" spans="8:63" x14ac:dyDescent="0.25">
      <c r="S47" s="2" t="s">
        <v>1</v>
      </c>
      <c r="T47" s="2" t="s">
        <v>1</v>
      </c>
      <c r="U47" s="2" t="s">
        <v>1</v>
      </c>
      <c r="V47" s="2" t="s">
        <v>1</v>
      </c>
      <c r="W47" s="2" t="s">
        <v>1</v>
      </c>
      <c r="X47" s="2" t="s">
        <v>1</v>
      </c>
      <c r="Y47" s="2" t="s">
        <v>1</v>
      </c>
      <c r="Z47" s="2" t="s">
        <v>1</v>
      </c>
      <c r="AA47" s="2" t="s">
        <v>1</v>
      </c>
      <c r="AB47" s="2" t="s">
        <v>1</v>
      </c>
      <c r="AC47" s="2" t="s">
        <v>1</v>
      </c>
      <c r="AD47" s="2" t="s">
        <v>1</v>
      </c>
      <c r="AE47" s="2" t="s">
        <v>1</v>
      </c>
      <c r="AF47" s="2" t="s">
        <v>1</v>
      </c>
      <c r="AG47" s="2" t="s">
        <v>1</v>
      </c>
      <c r="AH47" s="2" t="s">
        <v>1</v>
      </c>
      <c r="AI47" s="2" t="s">
        <v>1</v>
      </c>
      <c r="AJ47" s="2" t="s">
        <v>1</v>
      </c>
      <c r="AK47" s="2" t="s">
        <v>1</v>
      </c>
      <c r="AL47" s="2" t="s">
        <v>1</v>
      </c>
      <c r="AM47" s="2" t="s">
        <v>1</v>
      </c>
      <c r="AN47" s="2" t="s">
        <v>1</v>
      </c>
      <c r="AO47" s="2" t="s">
        <v>1</v>
      </c>
      <c r="AP47" s="2" t="s">
        <v>1</v>
      </c>
      <c r="AQ47" s="2" t="s">
        <v>1</v>
      </c>
      <c r="AR47" s="2" t="s">
        <v>1</v>
      </c>
      <c r="AS47" s="2" t="s">
        <v>1</v>
      </c>
      <c r="AT47" s="2" t="s">
        <v>1</v>
      </c>
      <c r="AU47" s="2" t="s">
        <v>1</v>
      </c>
    </row>
    <row r="48" spans="8:63" x14ac:dyDescent="0.25">
      <c r="S48" s="2" t="s">
        <v>1</v>
      </c>
      <c r="T48" s="2" t="s">
        <v>1</v>
      </c>
      <c r="U48" s="2" t="s">
        <v>1</v>
      </c>
      <c r="V48" s="2" t="s">
        <v>1</v>
      </c>
      <c r="W48" s="2" t="s">
        <v>1</v>
      </c>
      <c r="X48" s="2" t="s">
        <v>1</v>
      </c>
      <c r="Y48" s="2" t="s">
        <v>1</v>
      </c>
      <c r="Z48" s="2" t="s">
        <v>1</v>
      </c>
      <c r="AA48" s="2" t="s">
        <v>1</v>
      </c>
      <c r="AB48" s="2" t="s">
        <v>1</v>
      </c>
      <c r="AC48" s="2" t="s">
        <v>1</v>
      </c>
      <c r="AD48" s="2" t="s">
        <v>1</v>
      </c>
      <c r="AE48" s="2" t="s">
        <v>1</v>
      </c>
      <c r="AF48" s="2" t="s">
        <v>1</v>
      </c>
      <c r="AG48" s="2" t="s">
        <v>1</v>
      </c>
      <c r="AH48" s="2" t="s">
        <v>1</v>
      </c>
      <c r="AI48" s="2" t="s">
        <v>1</v>
      </c>
      <c r="AJ48" s="2" t="s">
        <v>1</v>
      </c>
      <c r="AK48" s="2" t="s">
        <v>1</v>
      </c>
      <c r="AL48" s="2" t="s">
        <v>1</v>
      </c>
      <c r="AM48" s="2" t="s">
        <v>1</v>
      </c>
      <c r="AN48" s="2" t="s">
        <v>1</v>
      </c>
      <c r="AO48" s="2" t="s">
        <v>1</v>
      </c>
      <c r="AP48" s="2" t="s">
        <v>1</v>
      </c>
      <c r="AQ48" s="2" t="s">
        <v>1</v>
      </c>
      <c r="AR48" s="2" t="s">
        <v>1</v>
      </c>
      <c r="AS48" s="2" t="s">
        <v>1</v>
      </c>
      <c r="AT48" s="2" t="s">
        <v>1</v>
      </c>
      <c r="AU48" s="2" t="s">
        <v>1</v>
      </c>
    </row>
    <row r="49" spans="19:47" x14ac:dyDescent="0.25">
      <c r="S49" s="2" t="s">
        <v>1</v>
      </c>
      <c r="T49" s="2" t="s">
        <v>1</v>
      </c>
      <c r="U49" s="2" t="s">
        <v>1</v>
      </c>
      <c r="V49" s="2" t="s">
        <v>1</v>
      </c>
      <c r="W49" s="2" t="s">
        <v>1</v>
      </c>
      <c r="X49" s="2" t="s">
        <v>1</v>
      </c>
      <c r="Y49" s="2" t="s">
        <v>1</v>
      </c>
      <c r="Z49" s="2" t="s">
        <v>1</v>
      </c>
      <c r="AA49" s="2" t="s">
        <v>1</v>
      </c>
      <c r="AB49" s="2" t="s">
        <v>1</v>
      </c>
      <c r="AC49" s="2" t="s">
        <v>1</v>
      </c>
      <c r="AD49" s="2" t="s">
        <v>1</v>
      </c>
      <c r="AE49" s="2" t="s">
        <v>1</v>
      </c>
      <c r="AF49" s="2" t="s">
        <v>1</v>
      </c>
      <c r="AG49" s="2" t="s">
        <v>1</v>
      </c>
      <c r="AH49" s="2" t="s">
        <v>1</v>
      </c>
      <c r="AI49" s="2" t="s">
        <v>1</v>
      </c>
      <c r="AJ49" s="2" t="s">
        <v>1</v>
      </c>
      <c r="AK49" s="2" t="s">
        <v>1</v>
      </c>
      <c r="AL49" s="2" t="s">
        <v>1</v>
      </c>
      <c r="AM49" s="2" t="s">
        <v>1</v>
      </c>
      <c r="AN49" s="2" t="s">
        <v>1</v>
      </c>
      <c r="AO49" s="2" t="s">
        <v>1</v>
      </c>
      <c r="AP49" s="2" t="s">
        <v>1</v>
      </c>
      <c r="AQ49" s="2" t="s">
        <v>1</v>
      </c>
      <c r="AR49" s="2" t="s">
        <v>1</v>
      </c>
      <c r="AS49" s="2" t="s">
        <v>1</v>
      </c>
      <c r="AT49" s="2" t="s">
        <v>1</v>
      </c>
      <c r="AU49" s="2" t="s">
        <v>1</v>
      </c>
    </row>
    <row r="50" spans="19:47" x14ac:dyDescent="0.25">
      <c r="S50" s="2" t="s">
        <v>1</v>
      </c>
      <c r="T50" s="2" t="s">
        <v>1</v>
      </c>
      <c r="U50" s="2" t="s">
        <v>1</v>
      </c>
      <c r="V50" s="2" t="s">
        <v>1</v>
      </c>
      <c r="W50" s="2" t="s">
        <v>1</v>
      </c>
      <c r="X50" s="2" t="s">
        <v>1</v>
      </c>
      <c r="Y50" s="2" t="s">
        <v>1</v>
      </c>
      <c r="Z50" s="2" t="s">
        <v>1</v>
      </c>
      <c r="AA50" s="2" t="s">
        <v>1</v>
      </c>
      <c r="AB50" s="2" t="s">
        <v>1</v>
      </c>
      <c r="AC50" s="2" t="s">
        <v>1</v>
      </c>
      <c r="AD50" s="2" t="s">
        <v>1</v>
      </c>
      <c r="AE50" s="2" t="s">
        <v>1</v>
      </c>
      <c r="AF50" s="2" t="s">
        <v>1</v>
      </c>
      <c r="AG50" s="2" t="s">
        <v>1</v>
      </c>
      <c r="AH50" s="2" t="s">
        <v>1</v>
      </c>
      <c r="AI50" s="2" t="s">
        <v>1</v>
      </c>
      <c r="AJ50" s="2" t="s">
        <v>1</v>
      </c>
      <c r="AK50" s="2" t="s">
        <v>1</v>
      </c>
      <c r="AL50" s="2" t="s">
        <v>1</v>
      </c>
      <c r="AM50" s="2" t="s">
        <v>1</v>
      </c>
      <c r="AN50" s="2" t="s">
        <v>1</v>
      </c>
      <c r="AO50" s="2" t="s">
        <v>1</v>
      </c>
      <c r="AP50" s="2" t="s">
        <v>1</v>
      </c>
      <c r="AQ50" s="2" t="s">
        <v>1</v>
      </c>
      <c r="AR50" s="2" t="s">
        <v>1</v>
      </c>
      <c r="AS50" s="2" t="s">
        <v>1</v>
      </c>
      <c r="AT50" s="2" t="s">
        <v>1</v>
      </c>
      <c r="AU50" s="2" t="s">
        <v>1</v>
      </c>
    </row>
    <row r="51" spans="19:47" x14ac:dyDescent="0.25"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2" t="s">
        <v>1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1</v>
      </c>
      <c r="AM51" s="2" t="s">
        <v>1</v>
      </c>
      <c r="AN51" s="2" t="s">
        <v>1</v>
      </c>
      <c r="AO51" s="2" t="s">
        <v>1</v>
      </c>
      <c r="AP51" s="2" t="s">
        <v>1</v>
      </c>
      <c r="AQ51" s="2" t="s">
        <v>1</v>
      </c>
      <c r="AR51" s="2" t="s">
        <v>1</v>
      </c>
      <c r="AS51" s="2" t="s">
        <v>1</v>
      </c>
      <c r="AT51" s="2" t="s">
        <v>1</v>
      </c>
      <c r="AU51" s="2" t="s">
        <v>1</v>
      </c>
    </row>
    <row r="52" spans="19:47" x14ac:dyDescent="0.25">
      <c r="S52" s="2" t="s">
        <v>1</v>
      </c>
      <c r="T52" s="2" t="s">
        <v>1</v>
      </c>
      <c r="U52" s="2" t="s">
        <v>1</v>
      </c>
      <c r="V52" s="2" t="s">
        <v>1</v>
      </c>
      <c r="W52" s="2" t="s">
        <v>1</v>
      </c>
      <c r="X52" s="2" t="s">
        <v>1</v>
      </c>
      <c r="Y52" s="2" t="s">
        <v>1</v>
      </c>
      <c r="Z52" s="2" t="s">
        <v>1</v>
      </c>
      <c r="AA52" s="2" t="s">
        <v>1</v>
      </c>
      <c r="AB52" s="2" t="s">
        <v>1</v>
      </c>
      <c r="AC52" s="2" t="s">
        <v>1</v>
      </c>
      <c r="AD52" s="2" t="s">
        <v>1</v>
      </c>
      <c r="AE52" s="2" t="s">
        <v>1</v>
      </c>
      <c r="AF52" s="2" t="s">
        <v>1</v>
      </c>
      <c r="AG52" s="2" t="s">
        <v>1</v>
      </c>
      <c r="AH52" s="2" t="s">
        <v>1</v>
      </c>
      <c r="AI52" s="2" t="s">
        <v>1</v>
      </c>
      <c r="AJ52" s="2" t="s">
        <v>1</v>
      </c>
      <c r="AK52" s="2" t="s">
        <v>1</v>
      </c>
      <c r="AL52" s="2" t="s">
        <v>1</v>
      </c>
      <c r="AM52" s="2" t="s">
        <v>1</v>
      </c>
      <c r="AN52" s="2" t="s">
        <v>1</v>
      </c>
      <c r="AO52" s="2" t="s">
        <v>1</v>
      </c>
      <c r="AP52" s="2" t="s">
        <v>1</v>
      </c>
      <c r="AQ52" s="2" t="s">
        <v>1</v>
      </c>
      <c r="AR52" s="2" t="s">
        <v>1</v>
      </c>
      <c r="AS52" s="2" t="s">
        <v>1</v>
      </c>
      <c r="AT52" s="2" t="s">
        <v>1</v>
      </c>
      <c r="AU52" s="2" t="s">
        <v>1</v>
      </c>
    </row>
    <row r="53" spans="19:47" x14ac:dyDescent="0.25">
      <c r="S53" s="2" t="s">
        <v>1</v>
      </c>
      <c r="T53" s="2" t="s">
        <v>1</v>
      </c>
      <c r="U53" s="2" t="s">
        <v>1</v>
      </c>
      <c r="V53" s="2" t="s">
        <v>1</v>
      </c>
      <c r="W53" s="2" t="s">
        <v>1</v>
      </c>
      <c r="X53" s="2" t="s">
        <v>1</v>
      </c>
      <c r="Y53" s="2" t="s">
        <v>1</v>
      </c>
      <c r="Z53" s="2" t="s">
        <v>1</v>
      </c>
      <c r="AA53" s="2" t="s">
        <v>1</v>
      </c>
      <c r="AB53" s="2" t="s">
        <v>1</v>
      </c>
      <c r="AC53" s="2" t="s">
        <v>1</v>
      </c>
      <c r="AD53" s="2" t="s">
        <v>1</v>
      </c>
      <c r="AE53" s="2" t="s">
        <v>1</v>
      </c>
      <c r="AF53" s="2" t="s">
        <v>1</v>
      </c>
      <c r="AG53" s="2" t="s">
        <v>1</v>
      </c>
      <c r="AH53" s="2" t="s">
        <v>1</v>
      </c>
      <c r="AI53" s="2" t="s">
        <v>1</v>
      </c>
      <c r="AJ53" s="2" t="s">
        <v>1</v>
      </c>
      <c r="AK53" s="2" t="s">
        <v>1</v>
      </c>
      <c r="AL53" s="2" t="s">
        <v>1</v>
      </c>
      <c r="AM53" s="2" t="s">
        <v>1</v>
      </c>
      <c r="AN53" s="2" t="s">
        <v>1</v>
      </c>
      <c r="AO53" s="2" t="s">
        <v>1</v>
      </c>
      <c r="AP53" s="2" t="s">
        <v>1</v>
      </c>
      <c r="AQ53" s="2" t="s">
        <v>1</v>
      </c>
      <c r="AR53" s="2" t="s">
        <v>1</v>
      </c>
      <c r="AS53" s="2" t="s">
        <v>1</v>
      </c>
      <c r="AT53" s="2" t="s">
        <v>1</v>
      </c>
      <c r="AU53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Alvarado</cp:lastModifiedBy>
  <dcterms:modified xsi:type="dcterms:W3CDTF">2026-07-29T23:28:17Z</dcterms:modified>
</cp:coreProperties>
</file>